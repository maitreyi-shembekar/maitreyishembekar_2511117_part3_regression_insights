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3_regression_insights\analysis\"/>
    </mc:Choice>
  </mc:AlternateContent>
  <xr:revisionPtr revIDLastSave="0" documentId="13_ncr:11_{FD9D670B-28C7-489C-971E-893367615D50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Original Data" sheetId="1" r:id="rId1"/>
    <sheet name="Cleaned Data" sheetId="3" r:id="rId2"/>
    <sheet name="Dummy Variables" sheetId="5" r:id="rId3"/>
    <sheet name="Simple Regression" sheetId="6" r:id="rId4"/>
    <sheet name="Multiple Regression" sheetId="7" r:id="rId5"/>
    <sheet name="Predictions and Residuals" sheetId="9" r:id="rId6"/>
    <sheet name="Model Comparison" sheetId="10" r:id="rId7"/>
    <sheet name="data_dictionary" sheetId="2" r:id="rId8"/>
    <sheet name="Sheet2" sheetId="4" r:id="rId9"/>
  </sheets>
  <definedNames>
    <definedName name="_xlnm._FilterDatabase" localSheetId="1" hidden="1">'Cleaned Data'!$A$1:$N$321</definedName>
    <definedName name="_xlnm._FilterDatabase" localSheetId="5" hidden="1">'Predictions and Residuals'!$A$3:$C$323</definedName>
  </definedNames>
  <calcPr calcId="191029"/>
</workbook>
</file>

<file path=xl/calcChain.xml><?xml version="1.0" encoding="utf-8"?>
<calcChain xmlns="http://schemas.openxmlformats.org/spreadsheetml/2006/main">
  <c r="D3" i="10" l="1"/>
  <c r="C3" i="10"/>
  <c r="B3" i="10"/>
  <c r="D7" i="10"/>
  <c r="D6" i="10"/>
  <c r="D5" i="10"/>
  <c r="D4" i="10"/>
  <c r="B7" i="10"/>
  <c r="C7" i="10"/>
  <c r="C6" i="10"/>
  <c r="C5" i="10"/>
  <c r="C4" i="10"/>
  <c r="B6" i="10"/>
  <c r="B5" i="10"/>
  <c r="B4" i="10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C5" i="4"/>
  <c r="C8" i="4"/>
  <c r="C7" i="4"/>
  <c r="C6" i="4"/>
  <c r="D2" i="4"/>
</calcChain>
</file>

<file path=xl/sharedStrings.xml><?xml version="1.0" encoding="utf-8"?>
<sst xmlns="http://schemas.openxmlformats.org/spreadsheetml/2006/main" count="2116" uniqueCount="172">
  <si>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</si>
  <si>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</si>
  <si>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</si>
  <si>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</si>
  <si>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</si>
  <si>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</si>
  <si>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</si>
  <si>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</si>
  <si>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</si>
  <si>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</si>
  <si>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</si>
  <si>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</si>
  <si>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</si>
  <si>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</si>
  <si>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</si>
  <si>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</si>
  <si>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</si>
  <si>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</si>
  <si>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</si>
  <si>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</si>
  <si>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</si>
  <si>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</si>
  <si>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</si>
  <si>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</si>
  <si>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</si>
  <si>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</si>
  <si>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</si>
  <si>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</si>
  <si>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</si>
  <si>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</si>
  <si>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</si>
  <si>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</si>
  <si>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</si>
  <si>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</si>
  <si>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</si>
  <si>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</si>
  <si>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</si>
  <si>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</si>
  <si>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</si>
  <si>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</si>
  <si>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</si>
  <si>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</si>
  <si>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</si>
  <si>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</si>
  <si>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</si>
  <si>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</si>
  <si>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</si>
  <si>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</si>
  <si>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</si>
  <si>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</si>
  <si>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</si>
  <si>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</si>
  <si>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</si>
  <si>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</si>
  <si>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</si>
  <si>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</si>
  <si>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</si>
  <si>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</si>
  <si>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</si>
  <si>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</si>
  <si>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</si>
  <si>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</si>
  <si>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</si>
  <si>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</si>
  <si>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</si>
  <si>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</si>
  <si>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</si>
  <si>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</si>
  <si>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</si>
  <si>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</si>
  <si>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</si>
  <si>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</si>
  <si>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</si>
  <si>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</si>
  <si>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</si>
  <si>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</si>
  <si>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</si>
  <si>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</si>
  <si>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</si>
  <si>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</si>
  <si>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</si>
  <si>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</si>
  <si>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</si>
  <si>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</si>
  <si>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</si>
  <si>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</si>
  <si>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</si>
  <si>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</si>
  <si>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</si>
  <si>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</si>
  <si>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</si>
  <si>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</si>
  <si>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</si>
  <si>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</si>
  <si>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</si>
  <si>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</si>
  <si>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</si>
  <si>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</si>
  <si>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</si>
  <si>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</si>
  <si>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</si>
  <si>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</si>
  <si>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</si>
  <si>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</si>
  <si>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</si>
  <si>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</si>
  <si>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</si>
  <si>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</si>
  <si>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</si>
  <si>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</si>
  <si>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</si>
  <si>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</si>
  <si>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</si>
  <si>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</si>
  <si>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</si>
  <si>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</si>
  <si>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</si>
  <si>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</si>
  <si>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 xml:space="preserve">median competitor distance = </t>
  </si>
  <si>
    <t>average rating by store type</t>
  </si>
  <si>
    <t>airport</t>
  </si>
  <si>
    <t>high street</t>
  </si>
  <si>
    <t>mall</t>
  </si>
  <si>
    <t>residential</t>
  </si>
  <si>
    <t>is_airport</t>
  </si>
  <si>
    <t>is_high_street</t>
  </si>
  <si>
    <t>is_mall</t>
  </si>
  <si>
    <t>Column1</t>
  </si>
  <si>
    <t>is_east</t>
  </si>
  <si>
    <t>is_west</t>
  </si>
  <si>
    <t>is_north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</si>
  <si>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</si>
  <si>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</si>
  <si>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</si>
  <si>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</si>
  <si>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</si>
  <si>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</si>
  <si>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</si>
  <si>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</si>
  <si>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</si>
  <si>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</si>
  <si>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</si>
  <si>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</si>
  <si>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</si>
  <si>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</si>
  <si>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</si>
  <si>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</si>
  <si>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</si>
  <si>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</si>
  <si>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</si>
  <si>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</si>
  <si>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</si>
  <si>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</si>
  <si>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</si>
  <si>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</si>
  <si>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</si>
  <si>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</si>
  <si>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</si>
  <si>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</si>
  <si>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Metric</t>
  </si>
  <si>
    <t>Simple Regression Model</t>
  </si>
  <si>
    <t>Multiple Regression Model</t>
  </si>
  <si>
    <t>Simple Regression for footfall as Independent Variable</t>
  </si>
  <si>
    <t>Simple Regression for marketing_spend as Independent Variable</t>
  </si>
  <si>
    <t>Independent Variable</t>
  </si>
  <si>
    <t>14 variables</t>
  </si>
  <si>
    <t>Colour Codes:</t>
  </si>
  <si>
    <t>Dependent Variable (Y)</t>
  </si>
  <si>
    <t>Independent Variables (X)</t>
  </si>
  <si>
    <t>Dummy Variables</t>
  </si>
  <si>
    <t>Top 5</t>
  </si>
  <si>
    <t>Bottom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</si>
</sst>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6" formatCode="&quot;₹&quot;\ #,##0.0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i/>
      <sz val="11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2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1" xfId="1"/>
    <xf numFmtId="164" fontId="2" fillId="0" borderId="1" xfId="1" applyNumberFormat="1"/>
    <xf numFmtId="0" fontId="1" fillId="2" borderId="1" xfId="1" applyFont="1" applyFill="1" applyAlignment="1">
      <alignment horizontal="center" vertical="center" wrapText="1"/>
    </xf>
    <xf numFmtId="2" fontId="0" fillId="0" borderId="0" xfId="0" applyNumberForma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2" fillId="3" borderId="1" xfId="1" applyFill="1"/>
    <xf numFmtId="0" fontId="2" fillId="4" borderId="1" xfId="1" applyFill="1"/>
    <xf numFmtId="0" fontId="2" fillId="0" borderId="1" xfId="1" applyFill="1"/>
    <xf numFmtId="10" fontId="0" fillId="0" borderId="0" xfId="0" applyNumberFormat="1"/>
    <xf numFmtId="166" fontId="0" fillId="0" borderId="0" xfId="0" applyNumberForma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 applyAlignment="1"/>
    <xf numFmtId="0" fontId="0" fillId="4" borderId="1" xfId="0" applyFill="1" applyBorder="1" applyAlignment="1"/>
  </cellXfs>
  <cellStyles count="2">
    <cellStyle name="Normal" xfId="0" builtinId="0"/>
    <cellStyle name="Normal 2" xfId="1" xr:uid="{4E30C71F-A1DA-402A-AA37-41F1B764CC0D}"/>
  </cellStyles>
  <dxfs count="7">
    <dxf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Variables'!$B$2:$B$321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C-44CA-BE9E-5D1E7CA68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938832"/>
        <c:axId val="525939312"/>
      </c:scatterChart>
      <c:valAx>
        <c:axId val="52593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939312"/>
        <c:crosses val="autoZero"/>
        <c:crossBetween val="midCat"/>
      </c:valAx>
      <c:valAx>
        <c:axId val="525939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938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Variables'!$C$2:$C$321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3-4105-8CA6-B5CEC7D73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07344"/>
        <c:axId val="519305904"/>
      </c:scatterChart>
      <c:valAx>
        <c:axId val="519307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9305904"/>
        <c:crosses val="autoZero"/>
        <c:crossBetween val="midCat"/>
      </c:valAx>
      <c:valAx>
        <c:axId val="51930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93073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Variables'!$D$2:$D$321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C-4D08-80BD-71DE4FCB0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07344"/>
        <c:axId val="455469328"/>
      </c:scatterChart>
      <c:valAx>
        <c:axId val="519307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469328"/>
        <c:crosses val="autoZero"/>
        <c:crossBetween val="midCat"/>
      </c:valAx>
      <c:valAx>
        <c:axId val="45546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93073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staff_count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Variables'!$E$2:$E$321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E-4BEB-8D86-5B30241D1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7808"/>
        <c:axId val="546475408"/>
      </c:scatterChart>
      <c:valAx>
        <c:axId val="54647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staff_count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6475408"/>
        <c:crosses val="autoZero"/>
        <c:crossBetween val="midCat"/>
      </c:valAx>
      <c:valAx>
        <c:axId val="54647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647780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inventory_availability_pct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Variables'!$F$2:$F$321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A-467F-879D-6EAE937AB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580528"/>
        <c:axId val="526583888"/>
      </c:scatterChart>
      <c:valAx>
        <c:axId val="52658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inventory_availability_pct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583888"/>
        <c:crosses val="autoZero"/>
        <c:crossBetween val="midCat"/>
      </c:valAx>
      <c:valAx>
        <c:axId val="526583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5805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competitor_distance_km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Variables'!$G$2:$G$321</c:f>
              <c:numCache>
                <c:formatCode>General</c:formatCode>
                <c:ptCount val="320"/>
                <c:pt idx="0">
                  <c:v>5.28</c:v>
                </c:pt>
                <c:pt idx="1">
                  <c:v>4.3099999999999996</c:v>
                </c:pt>
                <c:pt idx="2">
                  <c:v>12</c:v>
                </c:pt>
                <c:pt idx="3">
                  <c:v>4.97</c:v>
                </c:pt>
                <c:pt idx="4">
                  <c:v>6.94</c:v>
                </c:pt>
                <c:pt idx="5">
                  <c:v>2.88</c:v>
                </c:pt>
                <c:pt idx="6">
                  <c:v>0.2</c:v>
                </c:pt>
                <c:pt idx="7">
                  <c:v>0.8</c:v>
                </c:pt>
                <c:pt idx="8">
                  <c:v>7.7</c:v>
                </c:pt>
                <c:pt idx="9">
                  <c:v>1.91</c:v>
                </c:pt>
                <c:pt idx="10">
                  <c:v>10.46</c:v>
                </c:pt>
                <c:pt idx="11">
                  <c:v>7.16</c:v>
                </c:pt>
                <c:pt idx="12">
                  <c:v>4.24</c:v>
                </c:pt>
                <c:pt idx="13">
                  <c:v>1.06</c:v>
                </c:pt>
                <c:pt idx="14">
                  <c:v>0.27</c:v>
                </c:pt>
                <c:pt idx="15">
                  <c:v>1.32</c:v>
                </c:pt>
                <c:pt idx="16">
                  <c:v>1.22</c:v>
                </c:pt>
                <c:pt idx="17">
                  <c:v>4.01</c:v>
                </c:pt>
                <c:pt idx="18">
                  <c:v>0.2</c:v>
                </c:pt>
                <c:pt idx="19">
                  <c:v>0.5</c:v>
                </c:pt>
                <c:pt idx="20">
                  <c:v>6.95</c:v>
                </c:pt>
                <c:pt idx="21">
                  <c:v>0.2</c:v>
                </c:pt>
                <c:pt idx="22">
                  <c:v>1.61</c:v>
                </c:pt>
                <c:pt idx="23">
                  <c:v>1.55</c:v>
                </c:pt>
                <c:pt idx="24">
                  <c:v>2.99</c:v>
                </c:pt>
                <c:pt idx="25">
                  <c:v>7.04</c:v>
                </c:pt>
                <c:pt idx="26">
                  <c:v>4.9400000000000004</c:v>
                </c:pt>
                <c:pt idx="27">
                  <c:v>16.149999999999999</c:v>
                </c:pt>
                <c:pt idx="28">
                  <c:v>0.48</c:v>
                </c:pt>
                <c:pt idx="29">
                  <c:v>0.31</c:v>
                </c:pt>
                <c:pt idx="30">
                  <c:v>3.01</c:v>
                </c:pt>
                <c:pt idx="31">
                  <c:v>12.15</c:v>
                </c:pt>
                <c:pt idx="32">
                  <c:v>11.71</c:v>
                </c:pt>
                <c:pt idx="33">
                  <c:v>0.62</c:v>
                </c:pt>
                <c:pt idx="34">
                  <c:v>2.12</c:v>
                </c:pt>
                <c:pt idx="35">
                  <c:v>6.31</c:v>
                </c:pt>
                <c:pt idx="36">
                  <c:v>9.56</c:v>
                </c:pt>
                <c:pt idx="37">
                  <c:v>9.0500000000000007</c:v>
                </c:pt>
                <c:pt idx="38">
                  <c:v>5.05</c:v>
                </c:pt>
                <c:pt idx="39">
                  <c:v>0.89</c:v>
                </c:pt>
                <c:pt idx="40">
                  <c:v>5.57</c:v>
                </c:pt>
                <c:pt idx="41">
                  <c:v>1.06</c:v>
                </c:pt>
                <c:pt idx="42">
                  <c:v>1.24</c:v>
                </c:pt>
                <c:pt idx="43">
                  <c:v>4.5199999999999996</c:v>
                </c:pt>
                <c:pt idx="44">
                  <c:v>9.58</c:v>
                </c:pt>
                <c:pt idx="45">
                  <c:v>5.52</c:v>
                </c:pt>
                <c:pt idx="46">
                  <c:v>2.7</c:v>
                </c:pt>
                <c:pt idx="47">
                  <c:v>9.64</c:v>
                </c:pt>
                <c:pt idx="48">
                  <c:v>3.49</c:v>
                </c:pt>
                <c:pt idx="49">
                  <c:v>9.11</c:v>
                </c:pt>
                <c:pt idx="50">
                  <c:v>7.4</c:v>
                </c:pt>
                <c:pt idx="51">
                  <c:v>7.16</c:v>
                </c:pt>
                <c:pt idx="52">
                  <c:v>22.02</c:v>
                </c:pt>
                <c:pt idx="53">
                  <c:v>6.18</c:v>
                </c:pt>
                <c:pt idx="54">
                  <c:v>1.76</c:v>
                </c:pt>
                <c:pt idx="55">
                  <c:v>0.47</c:v>
                </c:pt>
                <c:pt idx="56">
                  <c:v>0.2</c:v>
                </c:pt>
                <c:pt idx="57">
                  <c:v>5.1100000000000003</c:v>
                </c:pt>
                <c:pt idx="58">
                  <c:v>0.2</c:v>
                </c:pt>
                <c:pt idx="59">
                  <c:v>13.59</c:v>
                </c:pt>
                <c:pt idx="60">
                  <c:v>1.02</c:v>
                </c:pt>
                <c:pt idx="61">
                  <c:v>1.64</c:v>
                </c:pt>
                <c:pt idx="62">
                  <c:v>5.15</c:v>
                </c:pt>
                <c:pt idx="63">
                  <c:v>1.1100000000000001</c:v>
                </c:pt>
                <c:pt idx="64">
                  <c:v>6.08</c:v>
                </c:pt>
                <c:pt idx="65">
                  <c:v>10.91</c:v>
                </c:pt>
                <c:pt idx="66">
                  <c:v>19.010000000000002</c:v>
                </c:pt>
                <c:pt idx="67">
                  <c:v>0.77</c:v>
                </c:pt>
                <c:pt idx="68">
                  <c:v>2.83</c:v>
                </c:pt>
                <c:pt idx="69">
                  <c:v>2.33</c:v>
                </c:pt>
                <c:pt idx="70">
                  <c:v>1.43</c:v>
                </c:pt>
                <c:pt idx="71">
                  <c:v>3.3650000000000002</c:v>
                </c:pt>
                <c:pt idx="72">
                  <c:v>4.91</c:v>
                </c:pt>
                <c:pt idx="73">
                  <c:v>7.03</c:v>
                </c:pt>
                <c:pt idx="74">
                  <c:v>0.28000000000000003</c:v>
                </c:pt>
                <c:pt idx="75">
                  <c:v>3.61</c:v>
                </c:pt>
                <c:pt idx="76">
                  <c:v>7.52</c:v>
                </c:pt>
                <c:pt idx="77">
                  <c:v>2.58</c:v>
                </c:pt>
                <c:pt idx="78">
                  <c:v>2.29</c:v>
                </c:pt>
                <c:pt idx="79">
                  <c:v>2.39</c:v>
                </c:pt>
                <c:pt idx="80">
                  <c:v>5.24</c:v>
                </c:pt>
                <c:pt idx="81">
                  <c:v>3.17</c:v>
                </c:pt>
                <c:pt idx="82">
                  <c:v>2.66</c:v>
                </c:pt>
                <c:pt idx="83">
                  <c:v>1.41</c:v>
                </c:pt>
                <c:pt idx="84">
                  <c:v>7.34</c:v>
                </c:pt>
                <c:pt idx="85">
                  <c:v>5.95</c:v>
                </c:pt>
                <c:pt idx="86">
                  <c:v>15.51</c:v>
                </c:pt>
                <c:pt idx="87">
                  <c:v>4.3099999999999996</c:v>
                </c:pt>
                <c:pt idx="88">
                  <c:v>6.61</c:v>
                </c:pt>
                <c:pt idx="89">
                  <c:v>4.26</c:v>
                </c:pt>
                <c:pt idx="90">
                  <c:v>5.75</c:v>
                </c:pt>
                <c:pt idx="91">
                  <c:v>0.33</c:v>
                </c:pt>
                <c:pt idx="92">
                  <c:v>2.92</c:v>
                </c:pt>
                <c:pt idx="93">
                  <c:v>1.64</c:v>
                </c:pt>
                <c:pt idx="94">
                  <c:v>0.8</c:v>
                </c:pt>
                <c:pt idx="95">
                  <c:v>5.79</c:v>
                </c:pt>
                <c:pt idx="96">
                  <c:v>19.600000000000001</c:v>
                </c:pt>
                <c:pt idx="97">
                  <c:v>7.57</c:v>
                </c:pt>
                <c:pt idx="98">
                  <c:v>3.3650000000000002</c:v>
                </c:pt>
                <c:pt idx="99">
                  <c:v>2.7</c:v>
                </c:pt>
                <c:pt idx="100">
                  <c:v>0.2</c:v>
                </c:pt>
                <c:pt idx="101">
                  <c:v>7.87</c:v>
                </c:pt>
                <c:pt idx="102">
                  <c:v>0.77</c:v>
                </c:pt>
                <c:pt idx="103">
                  <c:v>1.48</c:v>
                </c:pt>
                <c:pt idx="104">
                  <c:v>2.87</c:v>
                </c:pt>
                <c:pt idx="105">
                  <c:v>2.83</c:v>
                </c:pt>
                <c:pt idx="106">
                  <c:v>0.25</c:v>
                </c:pt>
                <c:pt idx="107">
                  <c:v>13.33</c:v>
                </c:pt>
                <c:pt idx="108">
                  <c:v>6.35</c:v>
                </c:pt>
                <c:pt idx="109">
                  <c:v>6.69</c:v>
                </c:pt>
                <c:pt idx="110">
                  <c:v>1.28</c:v>
                </c:pt>
                <c:pt idx="111">
                  <c:v>0.92</c:v>
                </c:pt>
                <c:pt idx="112">
                  <c:v>1.05</c:v>
                </c:pt>
                <c:pt idx="113">
                  <c:v>2.67</c:v>
                </c:pt>
                <c:pt idx="114">
                  <c:v>5.91</c:v>
                </c:pt>
                <c:pt idx="115">
                  <c:v>6.37</c:v>
                </c:pt>
                <c:pt idx="116">
                  <c:v>2.4900000000000002</c:v>
                </c:pt>
                <c:pt idx="117">
                  <c:v>1.56</c:v>
                </c:pt>
                <c:pt idx="118">
                  <c:v>14.95</c:v>
                </c:pt>
                <c:pt idx="119">
                  <c:v>7.85</c:v>
                </c:pt>
                <c:pt idx="120">
                  <c:v>6.8</c:v>
                </c:pt>
                <c:pt idx="121">
                  <c:v>2.2000000000000002</c:v>
                </c:pt>
                <c:pt idx="122">
                  <c:v>1.88</c:v>
                </c:pt>
                <c:pt idx="123">
                  <c:v>15.79</c:v>
                </c:pt>
                <c:pt idx="124">
                  <c:v>2.34</c:v>
                </c:pt>
                <c:pt idx="125">
                  <c:v>0.54</c:v>
                </c:pt>
                <c:pt idx="126">
                  <c:v>5.37</c:v>
                </c:pt>
                <c:pt idx="127">
                  <c:v>3.19</c:v>
                </c:pt>
                <c:pt idx="128">
                  <c:v>1.1000000000000001</c:v>
                </c:pt>
                <c:pt idx="129">
                  <c:v>0.21</c:v>
                </c:pt>
                <c:pt idx="130">
                  <c:v>5.12</c:v>
                </c:pt>
                <c:pt idx="131">
                  <c:v>9.77</c:v>
                </c:pt>
                <c:pt idx="132">
                  <c:v>3.77</c:v>
                </c:pt>
                <c:pt idx="133">
                  <c:v>0.78</c:v>
                </c:pt>
                <c:pt idx="134">
                  <c:v>5.17</c:v>
                </c:pt>
                <c:pt idx="135">
                  <c:v>3.2</c:v>
                </c:pt>
                <c:pt idx="136">
                  <c:v>3.4</c:v>
                </c:pt>
                <c:pt idx="137">
                  <c:v>7.38</c:v>
                </c:pt>
                <c:pt idx="138">
                  <c:v>0.85</c:v>
                </c:pt>
                <c:pt idx="139">
                  <c:v>2.89</c:v>
                </c:pt>
                <c:pt idx="140">
                  <c:v>0.77</c:v>
                </c:pt>
                <c:pt idx="141">
                  <c:v>2.92</c:v>
                </c:pt>
                <c:pt idx="142">
                  <c:v>3.07</c:v>
                </c:pt>
                <c:pt idx="143">
                  <c:v>9.6999999999999993</c:v>
                </c:pt>
                <c:pt idx="144">
                  <c:v>3.71</c:v>
                </c:pt>
                <c:pt idx="145">
                  <c:v>10.79</c:v>
                </c:pt>
                <c:pt idx="146">
                  <c:v>6.03</c:v>
                </c:pt>
                <c:pt idx="147">
                  <c:v>4.92</c:v>
                </c:pt>
                <c:pt idx="148">
                  <c:v>19.78</c:v>
                </c:pt>
                <c:pt idx="149">
                  <c:v>5.45</c:v>
                </c:pt>
                <c:pt idx="150">
                  <c:v>2.33</c:v>
                </c:pt>
                <c:pt idx="151">
                  <c:v>3.55</c:v>
                </c:pt>
                <c:pt idx="152">
                  <c:v>0.2</c:v>
                </c:pt>
                <c:pt idx="153">
                  <c:v>2.09</c:v>
                </c:pt>
                <c:pt idx="154">
                  <c:v>2.2599999999999998</c:v>
                </c:pt>
                <c:pt idx="155">
                  <c:v>0.44</c:v>
                </c:pt>
                <c:pt idx="156">
                  <c:v>3.08</c:v>
                </c:pt>
                <c:pt idx="157">
                  <c:v>7.99</c:v>
                </c:pt>
                <c:pt idx="158">
                  <c:v>0.2</c:v>
                </c:pt>
                <c:pt idx="159">
                  <c:v>5.46</c:v>
                </c:pt>
                <c:pt idx="160">
                  <c:v>4.05</c:v>
                </c:pt>
                <c:pt idx="161">
                  <c:v>4.3600000000000003</c:v>
                </c:pt>
                <c:pt idx="162">
                  <c:v>3.3650000000000002</c:v>
                </c:pt>
                <c:pt idx="163">
                  <c:v>0.54</c:v>
                </c:pt>
                <c:pt idx="164">
                  <c:v>11.37</c:v>
                </c:pt>
                <c:pt idx="165">
                  <c:v>9.43</c:v>
                </c:pt>
                <c:pt idx="166">
                  <c:v>3.49</c:v>
                </c:pt>
                <c:pt idx="167">
                  <c:v>7.86</c:v>
                </c:pt>
                <c:pt idx="168">
                  <c:v>12.55</c:v>
                </c:pt>
                <c:pt idx="169">
                  <c:v>3.48</c:v>
                </c:pt>
                <c:pt idx="170">
                  <c:v>7.73</c:v>
                </c:pt>
                <c:pt idx="171">
                  <c:v>0.25</c:v>
                </c:pt>
                <c:pt idx="172">
                  <c:v>6.43</c:v>
                </c:pt>
                <c:pt idx="173">
                  <c:v>2.11</c:v>
                </c:pt>
                <c:pt idx="174">
                  <c:v>9.1199999999999992</c:v>
                </c:pt>
                <c:pt idx="175">
                  <c:v>2.71</c:v>
                </c:pt>
                <c:pt idx="176">
                  <c:v>3.65</c:v>
                </c:pt>
                <c:pt idx="177">
                  <c:v>7.86</c:v>
                </c:pt>
                <c:pt idx="178">
                  <c:v>0.3</c:v>
                </c:pt>
                <c:pt idx="179">
                  <c:v>8.44</c:v>
                </c:pt>
                <c:pt idx="180">
                  <c:v>5.27</c:v>
                </c:pt>
                <c:pt idx="181">
                  <c:v>13.22</c:v>
                </c:pt>
                <c:pt idx="182">
                  <c:v>1.02</c:v>
                </c:pt>
                <c:pt idx="183">
                  <c:v>4.03</c:v>
                </c:pt>
                <c:pt idx="184">
                  <c:v>2.34</c:v>
                </c:pt>
                <c:pt idx="185">
                  <c:v>8.51</c:v>
                </c:pt>
                <c:pt idx="186">
                  <c:v>0.48</c:v>
                </c:pt>
                <c:pt idx="187">
                  <c:v>13.62</c:v>
                </c:pt>
                <c:pt idx="188">
                  <c:v>7.77</c:v>
                </c:pt>
                <c:pt idx="189">
                  <c:v>1.99</c:v>
                </c:pt>
                <c:pt idx="190">
                  <c:v>4.7699999999999996</c:v>
                </c:pt>
                <c:pt idx="191">
                  <c:v>0.2</c:v>
                </c:pt>
                <c:pt idx="192">
                  <c:v>0.53</c:v>
                </c:pt>
                <c:pt idx="193">
                  <c:v>1.54</c:v>
                </c:pt>
                <c:pt idx="194">
                  <c:v>3.63</c:v>
                </c:pt>
                <c:pt idx="195">
                  <c:v>13.48</c:v>
                </c:pt>
                <c:pt idx="196">
                  <c:v>0.2</c:v>
                </c:pt>
                <c:pt idx="197">
                  <c:v>12.82</c:v>
                </c:pt>
                <c:pt idx="198">
                  <c:v>2.2400000000000002</c:v>
                </c:pt>
                <c:pt idx="199">
                  <c:v>1.8</c:v>
                </c:pt>
                <c:pt idx="200">
                  <c:v>0.41</c:v>
                </c:pt>
                <c:pt idx="201">
                  <c:v>3.05</c:v>
                </c:pt>
                <c:pt idx="202">
                  <c:v>8.44</c:v>
                </c:pt>
                <c:pt idx="203">
                  <c:v>0.78</c:v>
                </c:pt>
                <c:pt idx="204">
                  <c:v>0.87</c:v>
                </c:pt>
                <c:pt idx="205">
                  <c:v>0.95</c:v>
                </c:pt>
                <c:pt idx="206">
                  <c:v>3.82</c:v>
                </c:pt>
                <c:pt idx="207">
                  <c:v>2.7</c:v>
                </c:pt>
                <c:pt idx="208">
                  <c:v>3.84</c:v>
                </c:pt>
                <c:pt idx="209">
                  <c:v>5.09</c:v>
                </c:pt>
                <c:pt idx="210">
                  <c:v>3.82</c:v>
                </c:pt>
                <c:pt idx="211">
                  <c:v>12.28</c:v>
                </c:pt>
                <c:pt idx="212">
                  <c:v>2.8</c:v>
                </c:pt>
                <c:pt idx="213">
                  <c:v>3.67</c:v>
                </c:pt>
                <c:pt idx="214">
                  <c:v>2.81</c:v>
                </c:pt>
                <c:pt idx="215">
                  <c:v>2.44</c:v>
                </c:pt>
                <c:pt idx="216">
                  <c:v>3.27</c:v>
                </c:pt>
                <c:pt idx="217">
                  <c:v>10.34</c:v>
                </c:pt>
                <c:pt idx="218">
                  <c:v>1.92</c:v>
                </c:pt>
                <c:pt idx="219">
                  <c:v>3.1</c:v>
                </c:pt>
                <c:pt idx="220">
                  <c:v>6.34</c:v>
                </c:pt>
                <c:pt idx="221">
                  <c:v>1.2</c:v>
                </c:pt>
                <c:pt idx="222">
                  <c:v>4.5</c:v>
                </c:pt>
                <c:pt idx="223">
                  <c:v>6.68</c:v>
                </c:pt>
                <c:pt idx="224">
                  <c:v>4.07</c:v>
                </c:pt>
                <c:pt idx="225">
                  <c:v>5.45</c:v>
                </c:pt>
                <c:pt idx="226">
                  <c:v>15.58</c:v>
                </c:pt>
                <c:pt idx="227">
                  <c:v>5.32</c:v>
                </c:pt>
                <c:pt idx="228">
                  <c:v>0.37</c:v>
                </c:pt>
                <c:pt idx="229">
                  <c:v>21.63</c:v>
                </c:pt>
                <c:pt idx="230">
                  <c:v>2.48</c:v>
                </c:pt>
                <c:pt idx="231">
                  <c:v>3.3650000000000002</c:v>
                </c:pt>
                <c:pt idx="232">
                  <c:v>0.85</c:v>
                </c:pt>
                <c:pt idx="233">
                  <c:v>2.13</c:v>
                </c:pt>
                <c:pt idx="234">
                  <c:v>1.46</c:v>
                </c:pt>
                <c:pt idx="235">
                  <c:v>3.02</c:v>
                </c:pt>
                <c:pt idx="236">
                  <c:v>3.22</c:v>
                </c:pt>
                <c:pt idx="237">
                  <c:v>15.66</c:v>
                </c:pt>
                <c:pt idx="238">
                  <c:v>6.96</c:v>
                </c:pt>
                <c:pt idx="239">
                  <c:v>4.62</c:v>
                </c:pt>
                <c:pt idx="240">
                  <c:v>10.68</c:v>
                </c:pt>
                <c:pt idx="241">
                  <c:v>4.04</c:v>
                </c:pt>
                <c:pt idx="242">
                  <c:v>1.87</c:v>
                </c:pt>
                <c:pt idx="243">
                  <c:v>2.83</c:v>
                </c:pt>
                <c:pt idx="244">
                  <c:v>0.95</c:v>
                </c:pt>
                <c:pt idx="245">
                  <c:v>0.8</c:v>
                </c:pt>
                <c:pt idx="246">
                  <c:v>0.2</c:v>
                </c:pt>
                <c:pt idx="247">
                  <c:v>1.7</c:v>
                </c:pt>
                <c:pt idx="248">
                  <c:v>3.3650000000000002</c:v>
                </c:pt>
                <c:pt idx="249">
                  <c:v>5.0999999999999996</c:v>
                </c:pt>
                <c:pt idx="250">
                  <c:v>0.83</c:v>
                </c:pt>
                <c:pt idx="251">
                  <c:v>1.1399999999999999</c:v>
                </c:pt>
                <c:pt idx="252">
                  <c:v>9.5399999999999991</c:v>
                </c:pt>
                <c:pt idx="253">
                  <c:v>5.48</c:v>
                </c:pt>
                <c:pt idx="254">
                  <c:v>0.84</c:v>
                </c:pt>
                <c:pt idx="255">
                  <c:v>4.1900000000000004</c:v>
                </c:pt>
                <c:pt idx="256">
                  <c:v>1.26</c:v>
                </c:pt>
                <c:pt idx="257">
                  <c:v>2.74</c:v>
                </c:pt>
                <c:pt idx="258">
                  <c:v>3.69</c:v>
                </c:pt>
                <c:pt idx="259">
                  <c:v>1.82</c:v>
                </c:pt>
                <c:pt idx="260">
                  <c:v>6.62</c:v>
                </c:pt>
                <c:pt idx="261">
                  <c:v>3.3650000000000002</c:v>
                </c:pt>
                <c:pt idx="262">
                  <c:v>6.92</c:v>
                </c:pt>
                <c:pt idx="263">
                  <c:v>11.78</c:v>
                </c:pt>
                <c:pt idx="264">
                  <c:v>0.5</c:v>
                </c:pt>
                <c:pt idx="265">
                  <c:v>0.88</c:v>
                </c:pt>
                <c:pt idx="266">
                  <c:v>2.25</c:v>
                </c:pt>
                <c:pt idx="267">
                  <c:v>0.28999999999999998</c:v>
                </c:pt>
                <c:pt idx="268">
                  <c:v>0.65</c:v>
                </c:pt>
                <c:pt idx="269">
                  <c:v>0.2</c:v>
                </c:pt>
                <c:pt idx="270">
                  <c:v>3.63</c:v>
                </c:pt>
                <c:pt idx="271">
                  <c:v>0.2</c:v>
                </c:pt>
                <c:pt idx="272">
                  <c:v>6.23</c:v>
                </c:pt>
                <c:pt idx="273">
                  <c:v>1.04</c:v>
                </c:pt>
                <c:pt idx="274">
                  <c:v>1.76</c:v>
                </c:pt>
                <c:pt idx="275">
                  <c:v>2.86</c:v>
                </c:pt>
                <c:pt idx="276">
                  <c:v>18.14</c:v>
                </c:pt>
                <c:pt idx="277">
                  <c:v>3.39</c:v>
                </c:pt>
                <c:pt idx="278">
                  <c:v>1.44</c:v>
                </c:pt>
                <c:pt idx="279">
                  <c:v>3.65</c:v>
                </c:pt>
                <c:pt idx="280">
                  <c:v>1.23</c:v>
                </c:pt>
                <c:pt idx="281">
                  <c:v>3.09</c:v>
                </c:pt>
                <c:pt idx="282">
                  <c:v>3.15</c:v>
                </c:pt>
                <c:pt idx="283">
                  <c:v>6.44</c:v>
                </c:pt>
                <c:pt idx="284">
                  <c:v>0.2</c:v>
                </c:pt>
                <c:pt idx="285">
                  <c:v>0.59</c:v>
                </c:pt>
                <c:pt idx="286">
                  <c:v>0.2</c:v>
                </c:pt>
                <c:pt idx="287">
                  <c:v>1.36</c:v>
                </c:pt>
                <c:pt idx="288">
                  <c:v>3.34</c:v>
                </c:pt>
                <c:pt idx="289">
                  <c:v>0.33</c:v>
                </c:pt>
                <c:pt idx="290">
                  <c:v>3.44</c:v>
                </c:pt>
                <c:pt idx="291">
                  <c:v>5.33</c:v>
                </c:pt>
                <c:pt idx="292">
                  <c:v>6.04</c:v>
                </c:pt>
                <c:pt idx="293">
                  <c:v>1.6</c:v>
                </c:pt>
                <c:pt idx="294">
                  <c:v>8.9600000000000009</c:v>
                </c:pt>
                <c:pt idx="295">
                  <c:v>0.74</c:v>
                </c:pt>
                <c:pt idx="296">
                  <c:v>6.13</c:v>
                </c:pt>
                <c:pt idx="297">
                  <c:v>1.41</c:v>
                </c:pt>
                <c:pt idx="298">
                  <c:v>3.75</c:v>
                </c:pt>
                <c:pt idx="299">
                  <c:v>15.06</c:v>
                </c:pt>
                <c:pt idx="300">
                  <c:v>5.07</c:v>
                </c:pt>
                <c:pt idx="301">
                  <c:v>3.6</c:v>
                </c:pt>
                <c:pt idx="302">
                  <c:v>4.3899999999999997</c:v>
                </c:pt>
                <c:pt idx="303">
                  <c:v>2.79</c:v>
                </c:pt>
                <c:pt idx="304">
                  <c:v>1.56</c:v>
                </c:pt>
                <c:pt idx="305">
                  <c:v>15.82</c:v>
                </c:pt>
                <c:pt idx="306">
                  <c:v>1.17</c:v>
                </c:pt>
                <c:pt idx="307">
                  <c:v>3.82</c:v>
                </c:pt>
                <c:pt idx="308">
                  <c:v>4.1399999999999997</c:v>
                </c:pt>
                <c:pt idx="309">
                  <c:v>1.1000000000000001</c:v>
                </c:pt>
                <c:pt idx="310">
                  <c:v>10.6</c:v>
                </c:pt>
                <c:pt idx="311">
                  <c:v>0.9</c:v>
                </c:pt>
                <c:pt idx="312">
                  <c:v>0.2</c:v>
                </c:pt>
                <c:pt idx="313">
                  <c:v>4.67</c:v>
                </c:pt>
                <c:pt idx="314">
                  <c:v>4.38</c:v>
                </c:pt>
                <c:pt idx="315">
                  <c:v>4.4800000000000004</c:v>
                </c:pt>
                <c:pt idx="316">
                  <c:v>1.02</c:v>
                </c:pt>
                <c:pt idx="317">
                  <c:v>0.2</c:v>
                </c:pt>
                <c:pt idx="318">
                  <c:v>4.8899999999999997</c:v>
                </c:pt>
                <c:pt idx="319">
                  <c:v>11.82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3-4876-8D53-87616F6D3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581968"/>
        <c:axId val="526583408"/>
      </c:scatterChart>
      <c:valAx>
        <c:axId val="52658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competitor_distance_km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583408"/>
        <c:crosses val="autoZero"/>
        <c:crossBetween val="midCat"/>
      </c:valAx>
      <c:valAx>
        <c:axId val="526583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5819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holiday_flag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Variables'!$H$2:$H$321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7-41D5-B3EE-80AE497A8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742336"/>
        <c:axId val="520743776"/>
      </c:scatterChart>
      <c:valAx>
        <c:axId val="52074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holiday_flag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0743776"/>
        <c:crosses val="autoZero"/>
        <c:crossBetween val="midCat"/>
      </c:valAx>
      <c:valAx>
        <c:axId val="520743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07423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customer_rating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Variables'!$I$2:$I$321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>
                  <c:v>3.8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>
                  <c:v>3.8</c:v>
                </c:pt>
                <c:pt idx="134">
                  <c:v>4.4000000000000004</c:v>
                </c:pt>
                <c:pt idx="135">
                  <c:v>4.5999999999999996</c:v>
                </c:pt>
                <c:pt idx="136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>
                  <c:v>3.8</c:v>
                </c:pt>
                <c:pt idx="312">
                  <c:v>3.4</c:v>
                </c:pt>
                <c:pt idx="313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B-4AC8-8869-51BFA3728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740416"/>
        <c:axId val="210369360"/>
      </c:scatterChart>
      <c:valAx>
        <c:axId val="52074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customer_rating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9360"/>
        <c:crosses val="autoZero"/>
        <c:crossBetween val="midCat"/>
      </c:valAx>
      <c:valAx>
        <c:axId val="210369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07404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is_east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Variables'!$J$2:$J$321</c:f>
              <c:numCache>
                <c:formatCode>General</c:formatCode>
                <c:ptCount val="3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A-4564-9E91-726E78B48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9840"/>
        <c:axId val="210364080"/>
      </c:scatterChart>
      <c:valAx>
        <c:axId val="21036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is_east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4080"/>
        <c:crosses val="autoZero"/>
        <c:crossBetween val="midCat"/>
      </c:valAx>
      <c:valAx>
        <c:axId val="210364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98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is_west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Variables'!$K$2:$K$321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A-48A3-88E5-2D5C1B445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4560"/>
        <c:axId val="210367440"/>
      </c:scatterChart>
      <c:valAx>
        <c:axId val="21036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is_west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7440"/>
        <c:crosses val="autoZero"/>
        <c:crossBetween val="midCat"/>
      </c:valAx>
      <c:valAx>
        <c:axId val="210367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45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is_north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Variables'!$L$2:$L$321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1-4556-B7A6-3B80DA04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8880"/>
        <c:axId val="520740416"/>
      </c:scatterChart>
      <c:valAx>
        <c:axId val="21036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is_north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0740416"/>
        <c:crosses val="autoZero"/>
        <c:crossBetween val="midCat"/>
      </c:valAx>
      <c:valAx>
        <c:axId val="52074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88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is_airport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Variables'!$M$2:$M$321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D-43F1-B84D-093FCFA0E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15104"/>
        <c:axId val="576311744"/>
      </c:scatterChart>
      <c:valAx>
        <c:axId val="57631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is_airport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6311744"/>
        <c:crosses val="autoZero"/>
        <c:crossBetween val="midCat"/>
      </c:valAx>
      <c:valAx>
        <c:axId val="576311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63151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is_high_street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Variables'!$N$2:$N$321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D-4076-BE7D-EDB8B1493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09344"/>
        <c:axId val="576315104"/>
      </c:scatterChart>
      <c:valAx>
        <c:axId val="57630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is_high_street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6315104"/>
        <c:crosses val="autoZero"/>
        <c:crossBetween val="midCat"/>
      </c:valAx>
      <c:valAx>
        <c:axId val="57631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63093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is_mall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'Dummy Variables'!$O$2:$O$321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'Predictions and Residuals'!$C$4:$C$323</c:f>
              <c:numCache>
                <c:formatCode>General</c:formatCode>
                <c:ptCount val="320"/>
                <c:pt idx="0">
                  <c:v>-18118.161945998436</c:v>
                </c:pt>
                <c:pt idx="1">
                  <c:v>-44504.446948088356</c:v>
                </c:pt>
                <c:pt idx="2">
                  <c:v>-17339.945814952021</c:v>
                </c:pt>
                <c:pt idx="3">
                  <c:v>-75619.500527424156</c:v>
                </c:pt>
                <c:pt idx="4">
                  <c:v>-46901.855123610119</c:v>
                </c:pt>
                <c:pt idx="5">
                  <c:v>-12182.058471128577</c:v>
                </c:pt>
                <c:pt idx="6">
                  <c:v>-171.58218743489124</c:v>
                </c:pt>
                <c:pt idx="7">
                  <c:v>57391.304511009483</c:v>
                </c:pt>
                <c:pt idx="8">
                  <c:v>57389.498745497433</c:v>
                </c:pt>
                <c:pt idx="9">
                  <c:v>-29197.615532823955</c:v>
                </c:pt>
                <c:pt idx="10">
                  <c:v>-30912.469498171587</c:v>
                </c:pt>
                <c:pt idx="11">
                  <c:v>43020.632154370425</c:v>
                </c:pt>
                <c:pt idx="12">
                  <c:v>40649.76513299637</c:v>
                </c:pt>
                <c:pt idx="13">
                  <c:v>-45609.944401153247</c:v>
                </c:pt>
                <c:pt idx="14">
                  <c:v>-6895.2149529738817</c:v>
                </c:pt>
                <c:pt idx="15">
                  <c:v>25191.794109031442</c:v>
                </c:pt>
                <c:pt idx="16">
                  <c:v>-11549.778109468636</c:v>
                </c:pt>
                <c:pt idx="17">
                  <c:v>-3758.7046858740505</c:v>
                </c:pt>
                <c:pt idx="18">
                  <c:v>-31802.052203212515</c:v>
                </c:pt>
                <c:pt idx="19">
                  <c:v>-22586.580722415587</c:v>
                </c:pt>
                <c:pt idx="20">
                  <c:v>-70212.83084220707</c:v>
                </c:pt>
                <c:pt idx="21">
                  <c:v>-11995.936859103967</c:v>
                </c:pt>
                <c:pt idx="22">
                  <c:v>3923.6132048768923</c:v>
                </c:pt>
                <c:pt idx="23">
                  <c:v>-1082.2119392525638</c:v>
                </c:pt>
                <c:pt idx="24">
                  <c:v>-43584.027767617838</c:v>
                </c:pt>
                <c:pt idx="25">
                  <c:v>-111964.91826109204</c:v>
                </c:pt>
                <c:pt idx="26">
                  <c:v>-25795.592570239678</c:v>
                </c:pt>
                <c:pt idx="27">
                  <c:v>41008.275430758367</c:v>
                </c:pt>
                <c:pt idx="28">
                  <c:v>-58914.24965463049</c:v>
                </c:pt>
                <c:pt idx="29">
                  <c:v>25737.067533494963</c:v>
                </c:pt>
                <c:pt idx="30">
                  <c:v>-15684.767442170007</c:v>
                </c:pt>
                <c:pt idx="31">
                  <c:v>-13853.565922200272</c:v>
                </c:pt>
                <c:pt idx="32">
                  <c:v>-66818.364911215263</c:v>
                </c:pt>
                <c:pt idx="33">
                  <c:v>-51882.724553003325</c:v>
                </c:pt>
                <c:pt idx="34">
                  <c:v>1491.485329160816</c:v>
                </c:pt>
                <c:pt idx="35">
                  <c:v>-3827.8637513611466</c:v>
                </c:pt>
                <c:pt idx="36">
                  <c:v>44337.51248106081</c:v>
                </c:pt>
                <c:pt idx="37">
                  <c:v>-24238.919676377554</c:v>
                </c:pt>
                <c:pt idx="38">
                  <c:v>-12536.948190171272</c:v>
                </c:pt>
                <c:pt idx="39">
                  <c:v>-22989.478547032108</c:v>
                </c:pt>
                <c:pt idx="40">
                  <c:v>11661.775981198531</c:v>
                </c:pt>
                <c:pt idx="41">
                  <c:v>2643.6429430634016</c:v>
                </c:pt>
                <c:pt idx="42">
                  <c:v>33891.403977502137</c:v>
                </c:pt>
                <c:pt idx="43">
                  <c:v>1950.0317533444613</c:v>
                </c:pt>
                <c:pt idx="44">
                  <c:v>-114410.03668355336</c:v>
                </c:pt>
                <c:pt idx="45">
                  <c:v>-32363.280974006513</c:v>
                </c:pt>
                <c:pt idx="46">
                  <c:v>25260.935514870798</c:v>
                </c:pt>
                <c:pt idx="47">
                  <c:v>32377.324507342651</c:v>
                </c:pt>
                <c:pt idx="48">
                  <c:v>-51584.377997370786</c:v>
                </c:pt>
                <c:pt idx="49">
                  <c:v>22944.780461497488</c:v>
                </c:pt>
                <c:pt idx="50">
                  <c:v>23206.206609661342</c:v>
                </c:pt>
                <c:pt idx="51">
                  <c:v>29346.026514269062</c:v>
                </c:pt>
                <c:pt idx="52">
                  <c:v>-36604.417801159958</c:v>
                </c:pt>
                <c:pt idx="53">
                  <c:v>30122.281613096828</c:v>
                </c:pt>
                <c:pt idx="54">
                  <c:v>22627.752213118249</c:v>
                </c:pt>
                <c:pt idx="55">
                  <c:v>-77076.262825523329</c:v>
                </c:pt>
                <c:pt idx="56">
                  <c:v>-32146.391876159701</c:v>
                </c:pt>
                <c:pt idx="57">
                  <c:v>-28574.726070809644</c:v>
                </c:pt>
                <c:pt idx="58">
                  <c:v>-60571.344496243051</c:v>
                </c:pt>
                <c:pt idx="59">
                  <c:v>-24882.869491917081</c:v>
                </c:pt>
                <c:pt idx="60">
                  <c:v>41798.447039001854</c:v>
                </c:pt>
                <c:pt idx="61">
                  <c:v>34685.827879556222</c:v>
                </c:pt>
                <c:pt idx="62">
                  <c:v>972.01579911552835</c:v>
                </c:pt>
                <c:pt idx="63">
                  <c:v>30906.348360498436</c:v>
                </c:pt>
                <c:pt idx="64">
                  <c:v>-42434.450298931682</c:v>
                </c:pt>
                <c:pt idx="65">
                  <c:v>1129.674193849205</c:v>
                </c:pt>
                <c:pt idx="66">
                  <c:v>-119824.22524562664</c:v>
                </c:pt>
                <c:pt idx="67">
                  <c:v>-123.28047329594847</c:v>
                </c:pt>
                <c:pt idx="68">
                  <c:v>64305.75785661838</c:v>
                </c:pt>
                <c:pt idx="69">
                  <c:v>-19250.361912630382</c:v>
                </c:pt>
                <c:pt idx="70">
                  <c:v>27934.044971533353</c:v>
                </c:pt>
                <c:pt idx="71">
                  <c:v>54075.467664074618</c:v>
                </c:pt>
                <c:pt idx="72">
                  <c:v>41808.91314436309</c:v>
                </c:pt>
                <c:pt idx="73">
                  <c:v>-46831.050189381116</c:v>
                </c:pt>
                <c:pt idx="74">
                  <c:v>59601.584050814621</c:v>
                </c:pt>
                <c:pt idx="75">
                  <c:v>-24085.836370777921</c:v>
                </c:pt>
                <c:pt idx="76">
                  <c:v>-6030.7162390806479</c:v>
                </c:pt>
                <c:pt idx="77">
                  <c:v>50502.043947850703</c:v>
                </c:pt>
                <c:pt idx="78">
                  <c:v>54165.724130411632</c:v>
                </c:pt>
                <c:pt idx="79">
                  <c:v>-23554.394044631743</c:v>
                </c:pt>
                <c:pt idx="80">
                  <c:v>-41712.339742093231</c:v>
                </c:pt>
                <c:pt idx="81">
                  <c:v>35168.362410367467</c:v>
                </c:pt>
                <c:pt idx="82">
                  <c:v>48171.968100230908</c:v>
                </c:pt>
                <c:pt idx="83">
                  <c:v>-2601.717148069758</c:v>
                </c:pt>
                <c:pt idx="84">
                  <c:v>17966.854187703808</c:v>
                </c:pt>
                <c:pt idx="85">
                  <c:v>-30488.970336970058</c:v>
                </c:pt>
                <c:pt idx="86">
                  <c:v>21546.784573288518</c:v>
                </c:pt>
                <c:pt idx="87">
                  <c:v>-26860.022968172561</c:v>
                </c:pt>
                <c:pt idx="88">
                  <c:v>14339.207937086816</c:v>
                </c:pt>
                <c:pt idx="89">
                  <c:v>-136982.75648046285</c:v>
                </c:pt>
                <c:pt idx="90">
                  <c:v>3021.0728266696678</c:v>
                </c:pt>
                <c:pt idx="91">
                  <c:v>2946.2432627226226</c:v>
                </c:pt>
                <c:pt idx="92">
                  <c:v>-19055.196763177868</c:v>
                </c:pt>
                <c:pt idx="93">
                  <c:v>42705.79512815515</c:v>
                </c:pt>
                <c:pt idx="94">
                  <c:v>52763.233827694668</c:v>
                </c:pt>
                <c:pt idx="95">
                  <c:v>-10267.844878835487</c:v>
                </c:pt>
                <c:pt idx="96">
                  <c:v>16305.519902803237</c:v>
                </c:pt>
                <c:pt idx="97">
                  <c:v>70468.234895081259</c:v>
                </c:pt>
                <c:pt idx="98">
                  <c:v>-36140.482831512811</c:v>
                </c:pt>
                <c:pt idx="99">
                  <c:v>9118.0180825662101</c:v>
                </c:pt>
                <c:pt idx="100">
                  <c:v>26721.896123326616</c:v>
                </c:pt>
                <c:pt idx="101">
                  <c:v>-34357.340868684929</c:v>
                </c:pt>
                <c:pt idx="102">
                  <c:v>14292.099912287202</c:v>
                </c:pt>
                <c:pt idx="103">
                  <c:v>85180.432807370904</c:v>
                </c:pt>
                <c:pt idx="104">
                  <c:v>20646.602895967313</c:v>
                </c:pt>
                <c:pt idx="105">
                  <c:v>-12801.382213393808</c:v>
                </c:pt>
                <c:pt idx="106">
                  <c:v>70694.761769899749</c:v>
                </c:pt>
                <c:pt idx="107">
                  <c:v>35572.229340377962</c:v>
                </c:pt>
                <c:pt idx="108">
                  <c:v>22767.055450737593</c:v>
                </c:pt>
                <c:pt idx="109">
                  <c:v>32575.850536402664</c:v>
                </c:pt>
                <c:pt idx="110">
                  <c:v>-23556.743153823307</c:v>
                </c:pt>
                <c:pt idx="111">
                  <c:v>103137.26841172331</c:v>
                </c:pt>
                <c:pt idx="112">
                  <c:v>20139.009032999398</c:v>
                </c:pt>
                <c:pt idx="113">
                  <c:v>22561.246679930948</c:v>
                </c:pt>
                <c:pt idx="114">
                  <c:v>-54703.118928010692</c:v>
                </c:pt>
                <c:pt idx="115">
                  <c:v>-43460.77806887147</c:v>
                </c:pt>
                <c:pt idx="116">
                  <c:v>-14546.027662248234</c:v>
                </c:pt>
                <c:pt idx="117">
                  <c:v>82165.789408121957</c:v>
                </c:pt>
                <c:pt idx="118">
                  <c:v>-26981.73490601033</c:v>
                </c:pt>
                <c:pt idx="119">
                  <c:v>6350.0386551750125</c:v>
                </c:pt>
                <c:pt idx="120">
                  <c:v>-48631.935003070685</c:v>
                </c:pt>
                <c:pt idx="121">
                  <c:v>19442.30623929901</c:v>
                </c:pt>
                <c:pt idx="122">
                  <c:v>-48336.696382057853</c:v>
                </c:pt>
                <c:pt idx="123">
                  <c:v>-32179.023555244785</c:v>
                </c:pt>
                <c:pt idx="124">
                  <c:v>53252.627729411935</c:v>
                </c:pt>
                <c:pt idx="125">
                  <c:v>-39192.381967260386</c:v>
                </c:pt>
                <c:pt idx="126">
                  <c:v>39148.339650962036</c:v>
                </c:pt>
                <c:pt idx="127">
                  <c:v>-17761.864013829618</c:v>
                </c:pt>
                <c:pt idx="128">
                  <c:v>-8996.6779954801314</c:v>
                </c:pt>
                <c:pt idx="129">
                  <c:v>-9639.7704920202959</c:v>
                </c:pt>
                <c:pt idx="130">
                  <c:v>-62805.394037928432</c:v>
                </c:pt>
                <c:pt idx="131">
                  <c:v>5873.5322529990226</c:v>
                </c:pt>
                <c:pt idx="132">
                  <c:v>-52367.978260924458</c:v>
                </c:pt>
                <c:pt idx="133">
                  <c:v>-60460.327736234525</c:v>
                </c:pt>
                <c:pt idx="134">
                  <c:v>-20990.954321677797</c:v>
                </c:pt>
                <c:pt idx="135">
                  <c:v>-23745.311271496699</c:v>
                </c:pt>
                <c:pt idx="136">
                  <c:v>-75447.864332724363</c:v>
                </c:pt>
                <c:pt idx="137">
                  <c:v>53912.280308565474</c:v>
                </c:pt>
                <c:pt idx="138">
                  <c:v>46247.548261314514</c:v>
                </c:pt>
                <c:pt idx="139">
                  <c:v>35900.041022955789</c:v>
                </c:pt>
                <c:pt idx="140">
                  <c:v>30730.707447219058</c:v>
                </c:pt>
                <c:pt idx="141">
                  <c:v>7326.6875308919698</c:v>
                </c:pt>
                <c:pt idx="142">
                  <c:v>19596.496290376643</c:v>
                </c:pt>
                <c:pt idx="143">
                  <c:v>18290.555160303367</c:v>
                </c:pt>
                <c:pt idx="144">
                  <c:v>-15546.922180259367</c:v>
                </c:pt>
                <c:pt idx="145">
                  <c:v>1038.8876227200963</c:v>
                </c:pt>
                <c:pt idx="146">
                  <c:v>14152.620621144772</c:v>
                </c:pt>
                <c:pt idx="147">
                  <c:v>17863.456398161594</c:v>
                </c:pt>
                <c:pt idx="148">
                  <c:v>3408.4088450083509</c:v>
                </c:pt>
                <c:pt idx="149">
                  <c:v>6315.7246382989688</c:v>
                </c:pt>
                <c:pt idx="150">
                  <c:v>10224.86524803564</c:v>
                </c:pt>
                <c:pt idx="151">
                  <c:v>9366.854245776427</c:v>
                </c:pt>
                <c:pt idx="152">
                  <c:v>-20180.768977384432</c:v>
                </c:pt>
                <c:pt idx="153">
                  <c:v>6486.6443356091622</c:v>
                </c:pt>
                <c:pt idx="154">
                  <c:v>-32742.075790637988</c:v>
                </c:pt>
                <c:pt idx="155">
                  <c:v>-9955.412944103824</c:v>
                </c:pt>
                <c:pt idx="156">
                  <c:v>-28475.61021151056</c:v>
                </c:pt>
                <c:pt idx="157">
                  <c:v>-4988.4785733798053</c:v>
                </c:pt>
                <c:pt idx="158">
                  <c:v>53538.379720769357</c:v>
                </c:pt>
                <c:pt idx="159">
                  <c:v>60515.12626593851</c:v>
                </c:pt>
                <c:pt idx="160">
                  <c:v>-47380.418922678335</c:v>
                </c:pt>
                <c:pt idx="161">
                  <c:v>60571.615175000392</c:v>
                </c:pt>
                <c:pt idx="162">
                  <c:v>-9762.654073992162</c:v>
                </c:pt>
                <c:pt idx="163">
                  <c:v>-40203.159240351408</c:v>
                </c:pt>
                <c:pt idx="164">
                  <c:v>44798.538685053471</c:v>
                </c:pt>
                <c:pt idx="165">
                  <c:v>-16985.337516607135</c:v>
                </c:pt>
                <c:pt idx="166">
                  <c:v>-12179.984960930655</c:v>
                </c:pt>
                <c:pt idx="167">
                  <c:v>10437.664195726975</c:v>
                </c:pt>
                <c:pt idx="168">
                  <c:v>-191.77952001313679</c:v>
                </c:pt>
                <c:pt idx="169">
                  <c:v>-51551.224057678366</c:v>
                </c:pt>
                <c:pt idx="170">
                  <c:v>60572.284770418075</c:v>
                </c:pt>
                <c:pt idx="171">
                  <c:v>-3362.6759268977912</c:v>
                </c:pt>
                <c:pt idx="172">
                  <c:v>48980.775460061268</c:v>
                </c:pt>
                <c:pt idx="173">
                  <c:v>-8848.7416016510688</c:v>
                </c:pt>
                <c:pt idx="174">
                  <c:v>30034.889116819832</c:v>
                </c:pt>
                <c:pt idx="175">
                  <c:v>10972.2542391147</c:v>
                </c:pt>
                <c:pt idx="176">
                  <c:v>-9356.1838922430761</c:v>
                </c:pt>
                <c:pt idx="177">
                  <c:v>52004.030451528961</c:v>
                </c:pt>
                <c:pt idx="178">
                  <c:v>-8626.5178920633625</c:v>
                </c:pt>
                <c:pt idx="179">
                  <c:v>56184.514877475682</c:v>
                </c:pt>
                <c:pt idx="180">
                  <c:v>-3050.5522205453599</c:v>
                </c:pt>
                <c:pt idx="181">
                  <c:v>40438.440059997607</c:v>
                </c:pt>
                <c:pt idx="182">
                  <c:v>-24169.620107878116</c:v>
                </c:pt>
                <c:pt idx="183">
                  <c:v>3467.3401615349576</c:v>
                </c:pt>
                <c:pt idx="184">
                  <c:v>-19949.894247069722</c:v>
                </c:pt>
                <c:pt idx="185">
                  <c:v>29497.501725396025</c:v>
                </c:pt>
                <c:pt idx="186">
                  <c:v>41022.224095046287</c:v>
                </c:pt>
                <c:pt idx="187">
                  <c:v>34436.536335611367</c:v>
                </c:pt>
                <c:pt idx="188">
                  <c:v>53841.553867626935</c:v>
                </c:pt>
                <c:pt idx="189">
                  <c:v>5429.5962375156814</c:v>
                </c:pt>
                <c:pt idx="190">
                  <c:v>-8453.4374415305792</c:v>
                </c:pt>
                <c:pt idx="191">
                  <c:v>-59259.092021357734</c:v>
                </c:pt>
                <c:pt idx="192">
                  <c:v>-40981.107437814469</c:v>
                </c:pt>
                <c:pt idx="193">
                  <c:v>784.85249829117674</c:v>
                </c:pt>
                <c:pt idx="194">
                  <c:v>-3978.9069221289828</c:v>
                </c:pt>
                <c:pt idx="195">
                  <c:v>-32608.705817710375</c:v>
                </c:pt>
                <c:pt idx="196">
                  <c:v>56270.629573035287</c:v>
                </c:pt>
                <c:pt idx="197">
                  <c:v>-4663.1402345595416</c:v>
                </c:pt>
                <c:pt idx="198">
                  <c:v>-34079.348459060653</c:v>
                </c:pt>
                <c:pt idx="199">
                  <c:v>72605.847621945315</c:v>
                </c:pt>
                <c:pt idx="200">
                  <c:v>-46910.695490190294</c:v>
                </c:pt>
                <c:pt idx="201">
                  <c:v>86209.290236404981</c:v>
                </c:pt>
                <c:pt idx="202">
                  <c:v>-54321.540411729715</c:v>
                </c:pt>
                <c:pt idx="203">
                  <c:v>-43908.034339291044</c:v>
                </c:pt>
                <c:pt idx="204">
                  <c:v>-33218.677480342798</c:v>
                </c:pt>
                <c:pt idx="205">
                  <c:v>46649.228549772059</c:v>
                </c:pt>
                <c:pt idx="206">
                  <c:v>-50696.557205694728</c:v>
                </c:pt>
                <c:pt idx="207">
                  <c:v>-75721.854571125703</c:v>
                </c:pt>
                <c:pt idx="208">
                  <c:v>210.59243908466306</c:v>
                </c:pt>
                <c:pt idx="209">
                  <c:v>-48594.73074595572</c:v>
                </c:pt>
                <c:pt idx="210">
                  <c:v>-34141.252361717168</c:v>
                </c:pt>
                <c:pt idx="211">
                  <c:v>28414.615820946987</c:v>
                </c:pt>
                <c:pt idx="212">
                  <c:v>20998.198923761724</c:v>
                </c:pt>
                <c:pt idx="213">
                  <c:v>40570.707915518433</c:v>
                </c:pt>
                <c:pt idx="214">
                  <c:v>-16773.162931511295</c:v>
                </c:pt>
                <c:pt idx="215">
                  <c:v>477.25796493294183</c:v>
                </c:pt>
                <c:pt idx="216">
                  <c:v>26112.160226259148</c:v>
                </c:pt>
                <c:pt idx="217">
                  <c:v>-3086.2782167299883</c:v>
                </c:pt>
                <c:pt idx="218">
                  <c:v>26722.862174336449</c:v>
                </c:pt>
                <c:pt idx="219">
                  <c:v>-2669.3298516331706</c:v>
                </c:pt>
                <c:pt idx="220">
                  <c:v>11041.03262041125</c:v>
                </c:pt>
                <c:pt idx="221">
                  <c:v>1435.0092209620634</c:v>
                </c:pt>
                <c:pt idx="222">
                  <c:v>9920.8971864813939</c:v>
                </c:pt>
                <c:pt idx="223">
                  <c:v>-19849.404180218466</c:v>
                </c:pt>
                <c:pt idx="224">
                  <c:v>19757.260619820445</c:v>
                </c:pt>
                <c:pt idx="225">
                  <c:v>17518.278075164417</c:v>
                </c:pt>
                <c:pt idx="226">
                  <c:v>17983.758535837464</c:v>
                </c:pt>
                <c:pt idx="227">
                  <c:v>34863.239335580904</c:v>
                </c:pt>
                <c:pt idx="228">
                  <c:v>-47357.361264562001</c:v>
                </c:pt>
                <c:pt idx="229">
                  <c:v>110947.75794574979</c:v>
                </c:pt>
                <c:pt idx="230">
                  <c:v>-28313.946527108783</c:v>
                </c:pt>
                <c:pt idx="231">
                  <c:v>39849.757976078894</c:v>
                </c:pt>
                <c:pt idx="232">
                  <c:v>31936.55310695502</c:v>
                </c:pt>
                <c:pt idx="233">
                  <c:v>66007.613765185932</c:v>
                </c:pt>
                <c:pt idx="234">
                  <c:v>-5888.1683385031065</c:v>
                </c:pt>
                <c:pt idx="235">
                  <c:v>-926.8883710494265</c:v>
                </c:pt>
                <c:pt idx="236">
                  <c:v>-86907.595022668829</c:v>
                </c:pt>
                <c:pt idx="237">
                  <c:v>14798.509526487556</c:v>
                </c:pt>
                <c:pt idx="238">
                  <c:v>-10666.643526408239</c:v>
                </c:pt>
                <c:pt idx="239">
                  <c:v>3329.5701843119459</c:v>
                </c:pt>
                <c:pt idx="240">
                  <c:v>22451.379718557233</c:v>
                </c:pt>
                <c:pt idx="241">
                  <c:v>14493.33572670084</c:v>
                </c:pt>
                <c:pt idx="242">
                  <c:v>-15256.53006607166</c:v>
                </c:pt>
                <c:pt idx="243">
                  <c:v>-20752.217514901189</c:v>
                </c:pt>
                <c:pt idx="244">
                  <c:v>20757.22869299422</c:v>
                </c:pt>
                <c:pt idx="245">
                  <c:v>6559.4844780308194</c:v>
                </c:pt>
                <c:pt idx="246">
                  <c:v>-37809.935046206112</c:v>
                </c:pt>
                <c:pt idx="247">
                  <c:v>-2977.8028895444004</c:v>
                </c:pt>
                <c:pt idx="248">
                  <c:v>20386.135640230263</c:v>
                </c:pt>
                <c:pt idx="249">
                  <c:v>-11436.147066996899</c:v>
                </c:pt>
                <c:pt idx="250">
                  <c:v>-2381.2854043920524</c:v>
                </c:pt>
                <c:pt idx="251">
                  <c:v>18488.340174665675</c:v>
                </c:pt>
                <c:pt idx="252">
                  <c:v>2443.3907135606278</c:v>
                </c:pt>
                <c:pt idx="253">
                  <c:v>75490.406523405574</c:v>
                </c:pt>
                <c:pt idx="254">
                  <c:v>12726.075994162587</c:v>
                </c:pt>
                <c:pt idx="255">
                  <c:v>-64074.832901266054</c:v>
                </c:pt>
                <c:pt idx="256">
                  <c:v>44320.461466823821</c:v>
                </c:pt>
                <c:pt idx="257">
                  <c:v>-2792.1196302787866</c:v>
                </c:pt>
                <c:pt idx="258">
                  <c:v>-10036.846415468259</c:v>
                </c:pt>
                <c:pt idx="259">
                  <c:v>25440.531951569021</c:v>
                </c:pt>
                <c:pt idx="260">
                  <c:v>4990.6581388268969</c:v>
                </c:pt>
                <c:pt idx="261">
                  <c:v>-11525.310215763748</c:v>
                </c:pt>
                <c:pt idx="262">
                  <c:v>58957.853343449067</c:v>
                </c:pt>
                <c:pt idx="263">
                  <c:v>42323.258456327487</c:v>
                </c:pt>
                <c:pt idx="264">
                  <c:v>-8584.7282977468567</c:v>
                </c:pt>
                <c:pt idx="265">
                  <c:v>29200.052348852274</c:v>
                </c:pt>
                <c:pt idx="266">
                  <c:v>21783.948532092269</c:v>
                </c:pt>
                <c:pt idx="267">
                  <c:v>41837.502320073429</c:v>
                </c:pt>
                <c:pt idx="268">
                  <c:v>-78030.544709441834</c:v>
                </c:pt>
                <c:pt idx="269">
                  <c:v>36802.641352921724</c:v>
                </c:pt>
                <c:pt idx="270">
                  <c:v>-12253.237313724938</c:v>
                </c:pt>
                <c:pt idx="271">
                  <c:v>-71404.66298182623</c:v>
                </c:pt>
                <c:pt idx="272">
                  <c:v>1801.6848266680026</c:v>
                </c:pt>
                <c:pt idx="273">
                  <c:v>14552.567410860909</c:v>
                </c:pt>
                <c:pt idx="274">
                  <c:v>-28095.926597806276</c:v>
                </c:pt>
                <c:pt idx="275">
                  <c:v>73932.696056205896</c:v>
                </c:pt>
                <c:pt idx="276">
                  <c:v>-15645.35186033533</c:v>
                </c:pt>
                <c:pt idx="277">
                  <c:v>35905.123534203507</c:v>
                </c:pt>
                <c:pt idx="278">
                  <c:v>17118.694858094095</c:v>
                </c:pt>
                <c:pt idx="279">
                  <c:v>-16290.001626941958</c:v>
                </c:pt>
                <c:pt idx="280">
                  <c:v>-68439.33950866689</c:v>
                </c:pt>
                <c:pt idx="281">
                  <c:v>-47652.449396290933</c:v>
                </c:pt>
                <c:pt idx="282">
                  <c:v>4726.8782846998656</c:v>
                </c:pt>
                <c:pt idx="283">
                  <c:v>-2503.6459571675514</c:v>
                </c:pt>
                <c:pt idx="284">
                  <c:v>-35299.765959329554</c:v>
                </c:pt>
                <c:pt idx="285">
                  <c:v>-7228.5520944339223</c:v>
                </c:pt>
                <c:pt idx="286">
                  <c:v>-17537.292731845053</c:v>
                </c:pt>
                <c:pt idx="287">
                  <c:v>-26480.510555410292</c:v>
                </c:pt>
                <c:pt idx="288">
                  <c:v>43703.94808600808</c:v>
                </c:pt>
                <c:pt idx="289">
                  <c:v>-28746.764508399414</c:v>
                </c:pt>
                <c:pt idx="290">
                  <c:v>91905.984355479362</c:v>
                </c:pt>
                <c:pt idx="291">
                  <c:v>18783.648189619998</c:v>
                </c:pt>
                <c:pt idx="292">
                  <c:v>-33853.227623191895</c:v>
                </c:pt>
                <c:pt idx="293">
                  <c:v>-12393.639562873635</c:v>
                </c:pt>
                <c:pt idx="294">
                  <c:v>-8280.1482130283257</c:v>
                </c:pt>
                <c:pt idx="295">
                  <c:v>-7331.8518242359278</c:v>
                </c:pt>
                <c:pt idx="296">
                  <c:v>7014.2071264253464</c:v>
                </c:pt>
                <c:pt idx="297">
                  <c:v>71636.809494198416</c:v>
                </c:pt>
                <c:pt idx="298">
                  <c:v>-18400.94656370033</c:v>
                </c:pt>
                <c:pt idx="299">
                  <c:v>-32861.129310524091</c:v>
                </c:pt>
                <c:pt idx="300">
                  <c:v>-45811.618315520114</c:v>
                </c:pt>
                <c:pt idx="301">
                  <c:v>-11941.619847566239</c:v>
                </c:pt>
                <c:pt idx="302">
                  <c:v>-30682.82094423892</c:v>
                </c:pt>
                <c:pt idx="303">
                  <c:v>51031.56549064524</c:v>
                </c:pt>
                <c:pt idx="304">
                  <c:v>44495.33198771358</c:v>
                </c:pt>
                <c:pt idx="305">
                  <c:v>-52246.322457246133</c:v>
                </c:pt>
                <c:pt idx="306">
                  <c:v>39791.29942746181</c:v>
                </c:pt>
                <c:pt idx="307">
                  <c:v>-46708.765965671395</c:v>
                </c:pt>
                <c:pt idx="308">
                  <c:v>-13530.276366623468</c:v>
                </c:pt>
                <c:pt idx="309">
                  <c:v>-55944.205403582659</c:v>
                </c:pt>
                <c:pt idx="310">
                  <c:v>8496.9037212034455</c:v>
                </c:pt>
                <c:pt idx="311">
                  <c:v>-1698.8201098710997</c:v>
                </c:pt>
                <c:pt idx="312">
                  <c:v>27564.433094989159</c:v>
                </c:pt>
                <c:pt idx="313">
                  <c:v>-16361.1791635236</c:v>
                </c:pt>
                <c:pt idx="314">
                  <c:v>26232.42973708699</c:v>
                </c:pt>
                <c:pt idx="315">
                  <c:v>47413.56288435543</c:v>
                </c:pt>
                <c:pt idx="316">
                  <c:v>-59825.644187072176</c:v>
                </c:pt>
                <c:pt idx="317">
                  <c:v>16468.126399358094</c:v>
                </c:pt>
                <c:pt idx="318">
                  <c:v>405.05209750775248</c:v>
                </c:pt>
                <c:pt idx="319">
                  <c:v>1989.3605745354434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B-4923-804E-462192B4F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3600"/>
        <c:axId val="546476368"/>
      </c:scatterChart>
      <c:valAx>
        <c:axId val="21036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is_mall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6476368"/>
        <c:crosses val="autoZero"/>
        <c:crossBetween val="midCat"/>
      </c:valAx>
      <c:valAx>
        <c:axId val="546476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3636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20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365E23-557F-45C8-9863-6931B2F3A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14</xdr:col>
      <xdr:colOff>666750</xdr:colOff>
      <xdr:row>41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047809-5FC9-44DD-A28E-8C70A2E83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685799</xdr:colOff>
      <xdr:row>44</xdr:row>
      <xdr:rowOff>0</xdr:rowOff>
    </xdr:from>
    <xdr:to>
      <xdr:col>14</xdr:col>
      <xdr:colOff>676274</xdr:colOff>
      <xdr:row>62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DA7C6C-8CC0-40F4-BFAA-7909D0245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685799</xdr:colOff>
      <xdr:row>64</xdr:row>
      <xdr:rowOff>180974</xdr:rowOff>
    </xdr:from>
    <xdr:to>
      <xdr:col>14</xdr:col>
      <xdr:colOff>676274</xdr:colOff>
      <xdr:row>83</xdr:row>
      <xdr:rowOff>28574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775998-0BA2-4B30-8AA3-1F4F8D347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685799</xdr:colOff>
      <xdr:row>86</xdr:row>
      <xdr:rowOff>0</xdr:rowOff>
    </xdr:from>
    <xdr:to>
      <xdr:col>15</xdr:col>
      <xdr:colOff>9524</xdr:colOff>
      <xdr:row>104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8B14F6-5BD9-444F-9707-DA17356F8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106</xdr:row>
      <xdr:rowOff>180974</xdr:rowOff>
    </xdr:from>
    <xdr:to>
      <xdr:col>15</xdr:col>
      <xdr:colOff>19050</xdr:colOff>
      <xdr:row>125</xdr:row>
      <xdr:rowOff>28574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F147465-6598-43BB-A8E5-981E4F5B0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127</xdr:row>
      <xdr:rowOff>180974</xdr:rowOff>
    </xdr:from>
    <xdr:to>
      <xdr:col>15</xdr:col>
      <xdr:colOff>38100</xdr:colOff>
      <xdr:row>146</xdr:row>
      <xdr:rowOff>9524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273CA0-D22C-49F5-9AF6-3A745C58E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15</xdr:col>
      <xdr:colOff>38100</xdr:colOff>
      <xdr:row>167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DEC97C0-9B34-4599-9FB2-A40082756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170</xdr:row>
      <xdr:rowOff>180974</xdr:rowOff>
    </xdr:from>
    <xdr:to>
      <xdr:col>14</xdr:col>
      <xdr:colOff>666750</xdr:colOff>
      <xdr:row>190</xdr:row>
      <xdr:rowOff>19049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4F237B6-5A4D-4FE2-B9E8-84FC98270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685799</xdr:colOff>
      <xdr:row>192</xdr:row>
      <xdr:rowOff>180974</xdr:rowOff>
    </xdr:from>
    <xdr:to>
      <xdr:col>15</xdr:col>
      <xdr:colOff>47624</xdr:colOff>
      <xdr:row>211</xdr:row>
      <xdr:rowOff>180974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D3D83E7-7B7C-4D46-9E24-337A7B258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685799</xdr:colOff>
      <xdr:row>215</xdr:row>
      <xdr:rowOff>0</xdr:rowOff>
    </xdr:from>
    <xdr:to>
      <xdr:col>15</xdr:col>
      <xdr:colOff>28574</xdr:colOff>
      <xdr:row>232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AAD263F-0960-4D00-91FA-EA70CCD7A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236</xdr:row>
      <xdr:rowOff>0</xdr:rowOff>
    </xdr:from>
    <xdr:to>
      <xdr:col>15</xdr:col>
      <xdr:colOff>0</xdr:colOff>
      <xdr:row>253</xdr:row>
      <xdr:rowOff>161925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9E9A0F8-FD64-451E-B2C4-822D37CBD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685799</xdr:colOff>
      <xdr:row>257</xdr:row>
      <xdr:rowOff>0</xdr:rowOff>
    </xdr:from>
    <xdr:to>
      <xdr:col>15</xdr:col>
      <xdr:colOff>9524</xdr:colOff>
      <xdr:row>274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654BEE6-108F-41BB-AAB9-852C853A2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685799</xdr:colOff>
      <xdr:row>278</xdr:row>
      <xdr:rowOff>0</xdr:rowOff>
    </xdr:from>
    <xdr:to>
      <xdr:col>14</xdr:col>
      <xdr:colOff>676274</xdr:colOff>
      <xdr:row>296</xdr:row>
      <xdr:rowOff>19050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2CF31FE-A0E9-4669-B0C8-E617FF9F3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F67DA-538C-4A12-97B1-90C8774E33C1}" name="Table1" displayName="Table1" ref="J1:O321" totalsRowShown="0" dataDxfId="0">
  <autoFilter ref="J1:O321" xr:uid="{F57F67DA-538C-4A12-97B1-90C8774E33C1}"/>
  <tableColumns count="6">
    <tableColumn id="1" xr3:uid="{5B9E2D7B-4A72-431E-AF42-806A53976263}" name="is_east" dataDxfId="6">
      <calculatedColumnFormula>IF('Cleaned Data'!C2 = "East", 1, 0)</calculatedColumnFormula>
    </tableColumn>
    <tableColumn id="2" xr3:uid="{BEC963D8-B7E6-4C9C-9E8C-CCA70BA1EC80}" name="is_west" dataDxfId="5">
      <calculatedColumnFormula>IF('Cleaned Data'!C2 = "West", 1, 0)</calculatedColumnFormula>
    </tableColumn>
    <tableColumn id="3" xr3:uid="{26449123-4782-45BC-AF43-0B4FC5C19B09}" name="is_north" dataDxfId="4">
      <calculatedColumnFormula>IF('Cleaned Data'!C2 = "North", 1, 0)</calculatedColumnFormula>
    </tableColumn>
    <tableColumn id="4" xr3:uid="{D96AA80D-EAA7-4728-AFE2-39133E45CCCF}" name="is_airport" dataDxfId="3">
      <calculatedColumnFormula>IF('Cleaned Data'!D2 = "Airport", 1, 0)</calculatedColumnFormula>
    </tableColumn>
    <tableColumn id="5" xr3:uid="{10B1C8B2-F19A-4620-A697-E13D92A178B8}" name="is_high_street" dataDxfId="2">
      <calculatedColumnFormula>IF('Cleaned Data'!D2 = "High Street", 1,0)</calculatedColumnFormula>
    </tableColumn>
    <tableColumn id="6" xr3:uid="{D14B634D-B611-4D25-9C0F-651B87D07CFC}" name="is_mall" dataDxfId="1">
      <calculatedColumnFormula>IF('Cleaned Data'!D2 = "Mall", 1,0)</calculatedColumnFormula>
    </tableColumn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E6785-C021-44B3-B0DD-712C4B242BA0}" name="Table2" displayName="Table2" ref="A1:D7" totalsRowShown="0">
  <autoFilter ref="A1:D7" xr:uid="{22EE6785-C021-44B3-B0DD-712C4B242BA0}"/>
  <tableColumns count="4">
    <tableColumn id="1" xr3:uid="{BF4ABF7E-8E07-4DAF-B03D-1E2DA6026D1E}" name="Metric"/>
    <tableColumn id="2" xr3:uid="{D386B041-42C6-4F1D-A4D5-711FBA3A14F4}" name="Simple Regression Model"/>
    <tableColumn id="4" xr3:uid="{ABB431BD-1A65-4E25-91C3-7D8A590340E5}" name="Column1"/>
    <tableColumn id="3" xr3:uid="{928EC3FE-5CD3-46E2-9A6E-10A5958F558C}" name="Multiple Regression 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A2" sqref="A2"/>
    </sheetView>
  </sheetViews>
  <sheetFormatPr defaultRowHeight="14.25"/>
  <cols>
    <col min="1" max="14" width="16" customWidth="1"/>
  </cols>
  <sheetData>
    <row r="1" spans="1:14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F633-71B2-4F51-9BBD-35ED9C13B3C0}">
  <dimension ref="A1:N321"/>
  <sheetViews>
    <sheetView workbookViewId="0">
      <selection activeCell="A2" sqref="A2"/>
    </sheetView>
  </sheetViews>
  <sheetFormatPr defaultRowHeight="14.25"/>
  <cols>
    <col min="1" max="14" width="16" style="5" customWidth="1"/>
    <col min="15" max="16384" width="9" style="5"/>
  </cols>
  <sheetData>
    <row r="1" spans="1:14" ht="27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5" t="s">
        <v>14</v>
      </c>
      <c r="B2" s="6">
        <v>45658</v>
      </c>
      <c r="C2" s="5" t="s">
        <v>15</v>
      </c>
      <c r="D2" s="5" t="s">
        <v>16</v>
      </c>
      <c r="E2" s="15">
        <v>70389.11</v>
      </c>
      <c r="F2" s="5">
        <v>8302</v>
      </c>
      <c r="G2" s="5">
        <v>4.2000000000000003E-2</v>
      </c>
      <c r="H2" s="5">
        <v>17</v>
      </c>
      <c r="I2" s="5">
        <v>75</v>
      </c>
      <c r="J2" s="5">
        <v>5.28</v>
      </c>
      <c r="K2" s="5">
        <v>1</v>
      </c>
      <c r="L2" s="5">
        <v>3.1</v>
      </c>
      <c r="M2" s="15">
        <v>658832.62</v>
      </c>
      <c r="N2" s="5">
        <v>84349.93</v>
      </c>
    </row>
    <row r="3" spans="1:14">
      <c r="A3" s="5" t="s">
        <v>14</v>
      </c>
      <c r="B3" s="6">
        <v>45689</v>
      </c>
      <c r="C3" s="5" t="s">
        <v>15</v>
      </c>
      <c r="D3" s="5" t="s">
        <v>16</v>
      </c>
      <c r="E3" s="15">
        <v>43827.89</v>
      </c>
      <c r="F3" s="5">
        <v>8487</v>
      </c>
      <c r="G3" s="5">
        <v>0.16800000000000001</v>
      </c>
      <c r="H3" s="5">
        <v>23</v>
      </c>
      <c r="I3" s="5">
        <v>84.4</v>
      </c>
      <c r="J3" s="5">
        <v>4.3099999999999996</v>
      </c>
      <c r="K3" s="5">
        <v>0</v>
      </c>
      <c r="L3" s="5">
        <v>2.8</v>
      </c>
      <c r="M3" s="15">
        <v>634436</v>
      </c>
      <c r="N3" s="5">
        <v>106130.54</v>
      </c>
    </row>
    <row r="4" spans="1:14">
      <c r="A4" s="5" t="s">
        <v>14</v>
      </c>
      <c r="B4" s="6">
        <v>45717</v>
      </c>
      <c r="C4" s="5" t="s">
        <v>15</v>
      </c>
      <c r="D4" s="5" t="s">
        <v>16</v>
      </c>
      <c r="E4" s="15">
        <v>59921.75</v>
      </c>
      <c r="F4" s="5">
        <v>9113</v>
      </c>
      <c r="G4" s="5">
        <v>0.13300000000000001</v>
      </c>
      <c r="H4" s="5">
        <v>20</v>
      </c>
      <c r="I4" s="5">
        <v>88</v>
      </c>
      <c r="J4" s="5">
        <v>12</v>
      </c>
      <c r="K4" s="5">
        <v>0</v>
      </c>
      <c r="L4" s="5">
        <v>3.2</v>
      </c>
      <c r="M4" s="15">
        <v>678722.06</v>
      </c>
      <c r="N4" s="5">
        <v>101883.86</v>
      </c>
    </row>
    <row r="5" spans="1:14">
      <c r="A5" s="5" t="s">
        <v>14</v>
      </c>
      <c r="B5" s="6">
        <v>45748</v>
      </c>
      <c r="C5" s="5" t="s">
        <v>15</v>
      </c>
      <c r="D5" s="5" t="s">
        <v>16</v>
      </c>
      <c r="E5" s="15">
        <v>56856.63</v>
      </c>
      <c r="F5" s="5">
        <v>9431</v>
      </c>
      <c r="G5" s="5">
        <v>0.14199999999999999</v>
      </c>
      <c r="H5" s="5">
        <v>23</v>
      </c>
      <c r="I5" s="5">
        <v>86.9</v>
      </c>
      <c r="J5" s="5">
        <v>4.97</v>
      </c>
      <c r="K5" s="5">
        <v>0</v>
      </c>
      <c r="L5" s="5">
        <v>3.4</v>
      </c>
      <c r="M5" s="15">
        <v>658920.30000000005</v>
      </c>
      <c r="N5" s="5">
        <v>97910.37</v>
      </c>
    </row>
    <row r="6" spans="1:14">
      <c r="A6" s="5" t="s">
        <v>17</v>
      </c>
      <c r="B6" s="6">
        <v>45658</v>
      </c>
      <c r="C6" s="5" t="s">
        <v>15</v>
      </c>
      <c r="D6" s="5" t="s">
        <v>18</v>
      </c>
      <c r="E6" s="15">
        <v>48412.639999999999</v>
      </c>
      <c r="F6" s="5">
        <v>9545</v>
      </c>
      <c r="G6" s="5">
        <v>0.23100000000000001</v>
      </c>
      <c r="H6" s="5">
        <v>21</v>
      </c>
      <c r="I6" s="5">
        <v>97.6</v>
      </c>
      <c r="J6" s="5">
        <v>6.94</v>
      </c>
      <c r="K6" s="5">
        <v>1</v>
      </c>
      <c r="L6" s="5">
        <v>4.2</v>
      </c>
      <c r="M6" s="15">
        <v>741341.44</v>
      </c>
      <c r="N6" s="5">
        <v>119208.17</v>
      </c>
    </row>
    <row r="7" spans="1:14">
      <c r="A7" s="5" t="s">
        <v>17</v>
      </c>
      <c r="B7" s="6">
        <v>45689</v>
      </c>
      <c r="C7" s="5" t="s">
        <v>15</v>
      </c>
      <c r="D7" s="5" t="s">
        <v>18</v>
      </c>
      <c r="E7" s="15">
        <v>64811.21</v>
      </c>
      <c r="F7" s="5">
        <v>9792</v>
      </c>
      <c r="G7" s="5">
        <v>0.112</v>
      </c>
      <c r="H7" s="5">
        <v>20</v>
      </c>
      <c r="I7" s="5">
        <v>84.2</v>
      </c>
      <c r="J7" s="5">
        <v>2.88</v>
      </c>
      <c r="K7" s="5">
        <v>0</v>
      </c>
      <c r="L7" s="5">
        <v>4.2</v>
      </c>
      <c r="M7" s="15">
        <v>761835.34</v>
      </c>
      <c r="N7" s="5">
        <v>149602.23000000001</v>
      </c>
    </row>
    <row r="8" spans="1:14">
      <c r="A8" s="5" t="s">
        <v>17</v>
      </c>
      <c r="B8" s="6">
        <v>45717</v>
      </c>
      <c r="C8" s="5" t="s">
        <v>15</v>
      </c>
      <c r="D8" s="5" t="s">
        <v>18</v>
      </c>
      <c r="E8" s="15">
        <v>46213.45</v>
      </c>
      <c r="F8" s="5">
        <v>10616</v>
      </c>
      <c r="G8" s="5">
        <v>0.122</v>
      </c>
      <c r="H8" s="5">
        <v>22</v>
      </c>
      <c r="I8" s="5">
        <v>85.2</v>
      </c>
      <c r="J8" s="5">
        <v>0.2</v>
      </c>
      <c r="K8" s="5">
        <v>1</v>
      </c>
      <c r="L8" s="5">
        <v>4.0999999999999996</v>
      </c>
      <c r="M8" s="15">
        <v>806615.54</v>
      </c>
      <c r="N8" s="5">
        <v>131364.62</v>
      </c>
    </row>
    <row r="9" spans="1:14">
      <c r="A9" s="5" t="s">
        <v>17</v>
      </c>
      <c r="B9" s="6">
        <v>45748</v>
      </c>
      <c r="C9" s="5" t="s">
        <v>15</v>
      </c>
      <c r="D9" s="5" t="s">
        <v>18</v>
      </c>
      <c r="E9" s="15">
        <v>68148.52</v>
      </c>
      <c r="F9" s="5">
        <v>8567</v>
      </c>
      <c r="G9" s="5">
        <v>0.127</v>
      </c>
      <c r="H9" s="5">
        <v>23</v>
      </c>
      <c r="I9" s="5">
        <v>95.6</v>
      </c>
      <c r="J9" s="5">
        <v>0.8</v>
      </c>
      <c r="K9" s="5">
        <v>0</v>
      </c>
      <c r="L9" s="5">
        <v>3.9</v>
      </c>
      <c r="M9" s="15">
        <v>850164.26</v>
      </c>
      <c r="N9" s="5">
        <v>149262.75</v>
      </c>
    </row>
    <row r="10" spans="1:14">
      <c r="A10" s="5" t="s">
        <v>19</v>
      </c>
      <c r="B10" s="6">
        <v>45658</v>
      </c>
      <c r="C10" s="5" t="s">
        <v>20</v>
      </c>
      <c r="D10" s="5" t="s">
        <v>21</v>
      </c>
      <c r="E10" s="15">
        <v>71838.86</v>
      </c>
      <c r="F10" s="5">
        <v>10979</v>
      </c>
      <c r="G10" s="5">
        <v>0.215</v>
      </c>
      <c r="H10" s="5">
        <v>26</v>
      </c>
      <c r="I10" s="5">
        <v>88.6</v>
      </c>
      <c r="J10" s="5">
        <v>7.7</v>
      </c>
      <c r="K10" s="5">
        <v>1</v>
      </c>
      <c r="L10" s="5">
        <v>3.8</v>
      </c>
      <c r="M10" s="15">
        <v>930581.7</v>
      </c>
      <c r="N10" s="5">
        <v>136207.98000000001</v>
      </c>
    </row>
    <row r="11" spans="1:14">
      <c r="A11" s="5" t="s">
        <v>19</v>
      </c>
      <c r="B11" s="6">
        <v>45689</v>
      </c>
      <c r="C11" s="5" t="s">
        <v>20</v>
      </c>
      <c r="D11" s="5" t="s">
        <v>21</v>
      </c>
      <c r="E11" s="15">
        <v>68133.440000000002</v>
      </c>
      <c r="F11" s="5">
        <v>9459</v>
      </c>
      <c r="G11" s="5">
        <v>0.22</v>
      </c>
      <c r="H11" s="5">
        <v>21</v>
      </c>
      <c r="I11" s="5">
        <v>85</v>
      </c>
      <c r="J11" s="5">
        <v>1.91</v>
      </c>
      <c r="K11" s="5">
        <v>0</v>
      </c>
      <c r="L11" s="5">
        <v>4.2</v>
      </c>
      <c r="M11" s="15">
        <v>779010.94</v>
      </c>
      <c r="N11" s="5">
        <v>106328.09</v>
      </c>
    </row>
    <row r="12" spans="1:14">
      <c r="A12" s="5" t="s">
        <v>19</v>
      </c>
      <c r="B12" s="6">
        <v>45717</v>
      </c>
      <c r="C12" s="5" t="s">
        <v>20</v>
      </c>
      <c r="D12" s="5" t="s">
        <v>21</v>
      </c>
      <c r="E12" s="15">
        <v>34285.21</v>
      </c>
      <c r="F12" s="5">
        <v>9172</v>
      </c>
      <c r="G12" s="5">
        <v>0.21299999999999999</v>
      </c>
      <c r="H12" s="5">
        <v>22</v>
      </c>
      <c r="I12" s="5">
        <v>88.3</v>
      </c>
      <c r="J12" s="5">
        <v>10.46</v>
      </c>
      <c r="K12" s="5">
        <v>1</v>
      </c>
      <c r="L12" s="5">
        <v>3.8</v>
      </c>
      <c r="M12" s="15">
        <v>723060.76</v>
      </c>
      <c r="N12" s="5">
        <v>123131.24</v>
      </c>
    </row>
    <row r="13" spans="1:14">
      <c r="A13" s="5" t="s">
        <v>19</v>
      </c>
      <c r="B13" s="6">
        <v>45748</v>
      </c>
      <c r="C13" s="5" t="s">
        <v>20</v>
      </c>
      <c r="D13" s="5" t="s">
        <v>21</v>
      </c>
      <c r="E13" s="15">
        <v>67979.88</v>
      </c>
      <c r="F13" s="5">
        <v>11230</v>
      </c>
      <c r="G13" s="5">
        <v>2E-3</v>
      </c>
      <c r="H13" s="5">
        <v>28</v>
      </c>
      <c r="I13" s="5">
        <v>85.3</v>
      </c>
      <c r="J13" s="5">
        <v>7.16</v>
      </c>
      <c r="K13" s="5">
        <v>0</v>
      </c>
      <c r="L13" s="5">
        <v>3.8</v>
      </c>
      <c r="M13" s="15">
        <v>910791.94</v>
      </c>
      <c r="N13" s="5">
        <v>158891.28</v>
      </c>
    </row>
    <row r="14" spans="1:14">
      <c r="A14" s="5" t="s">
        <v>22</v>
      </c>
      <c r="B14" s="6">
        <v>45658</v>
      </c>
      <c r="C14" s="5" t="s">
        <v>15</v>
      </c>
      <c r="D14" s="5" t="s">
        <v>16</v>
      </c>
      <c r="E14" s="15">
        <v>71828.259999999995</v>
      </c>
      <c r="F14" s="5">
        <v>12775</v>
      </c>
      <c r="G14" s="5">
        <v>0.11600000000000001</v>
      </c>
      <c r="H14" s="5">
        <v>30</v>
      </c>
      <c r="I14" s="5">
        <v>81.7</v>
      </c>
      <c r="J14" s="5">
        <v>4.24</v>
      </c>
      <c r="K14" s="5">
        <v>1</v>
      </c>
      <c r="L14" s="5">
        <v>4.2</v>
      </c>
      <c r="M14" s="15">
        <v>922168.6</v>
      </c>
      <c r="N14" s="5">
        <v>107494.53</v>
      </c>
    </row>
    <row r="15" spans="1:14">
      <c r="A15" s="5" t="s">
        <v>22</v>
      </c>
      <c r="B15" s="6">
        <v>45689</v>
      </c>
      <c r="C15" s="5" t="s">
        <v>15</v>
      </c>
      <c r="D15" s="5" t="s">
        <v>16</v>
      </c>
      <c r="E15" s="15">
        <v>55716.82</v>
      </c>
      <c r="F15" s="5">
        <v>10054</v>
      </c>
      <c r="G15" s="5">
        <v>0.14599999999999999</v>
      </c>
      <c r="H15" s="5">
        <v>24</v>
      </c>
      <c r="I15" s="5">
        <v>84.9</v>
      </c>
      <c r="J15" s="5">
        <v>1.06</v>
      </c>
      <c r="K15" s="5">
        <v>0</v>
      </c>
      <c r="L15" s="5">
        <v>4.3</v>
      </c>
      <c r="M15" s="15">
        <v>726606.28</v>
      </c>
      <c r="N15" s="5">
        <v>122729.29</v>
      </c>
    </row>
    <row r="16" spans="1:14">
      <c r="A16" s="5" t="s">
        <v>22</v>
      </c>
      <c r="B16" s="6">
        <v>45717</v>
      </c>
      <c r="C16" s="5" t="s">
        <v>15</v>
      </c>
      <c r="D16" s="5" t="s">
        <v>16</v>
      </c>
      <c r="E16" s="15">
        <v>59909.51</v>
      </c>
      <c r="F16" s="5">
        <v>8895</v>
      </c>
      <c r="G16" s="5">
        <v>0.22800000000000001</v>
      </c>
      <c r="H16" s="5">
        <v>23</v>
      </c>
      <c r="I16" s="5">
        <v>88.8</v>
      </c>
      <c r="J16" s="5">
        <v>0.27</v>
      </c>
      <c r="K16" s="5">
        <v>0</v>
      </c>
      <c r="L16" s="5">
        <v>4.3</v>
      </c>
      <c r="M16" s="15">
        <v>746501.09</v>
      </c>
      <c r="N16" s="5">
        <v>136816.72</v>
      </c>
    </row>
    <row r="17" spans="1:14">
      <c r="A17" s="5" t="s">
        <v>22</v>
      </c>
      <c r="B17" s="6">
        <v>45748</v>
      </c>
      <c r="C17" s="5" t="s">
        <v>15</v>
      </c>
      <c r="D17" s="5" t="s">
        <v>16</v>
      </c>
      <c r="E17" s="15">
        <v>75305.710000000006</v>
      </c>
      <c r="F17" s="5">
        <v>10940</v>
      </c>
      <c r="G17" s="5">
        <v>6.0000000000000001E-3</v>
      </c>
      <c r="H17" s="5">
        <v>26</v>
      </c>
      <c r="I17" s="5">
        <v>76.5</v>
      </c>
      <c r="J17" s="5">
        <v>1.32</v>
      </c>
      <c r="K17" s="5">
        <v>0</v>
      </c>
      <c r="L17" s="5">
        <v>4.5</v>
      </c>
      <c r="M17" s="15">
        <v>834017.02</v>
      </c>
      <c r="N17" s="5">
        <v>114745.03</v>
      </c>
    </row>
    <row r="18" spans="1:14">
      <c r="A18" s="5" t="s">
        <v>23</v>
      </c>
      <c r="B18" s="6">
        <v>45658</v>
      </c>
      <c r="C18" s="5" t="s">
        <v>24</v>
      </c>
      <c r="D18" s="5" t="s">
        <v>16</v>
      </c>
      <c r="E18" s="15">
        <v>48804.22</v>
      </c>
      <c r="F18" s="5">
        <v>7057</v>
      </c>
      <c r="G18" s="5">
        <v>5.0000000000000001E-3</v>
      </c>
      <c r="H18" s="5">
        <v>15</v>
      </c>
      <c r="I18" s="5">
        <v>87.7</v>
      </c>
      <c r="J18" s="5">
        <v>1.22</v>
      </c>
      <c r="K18" s="5">
        <v>0</v>
      </c>
      <c r="L18" s="5">
        <v>3.7</v>
      </c>
      <c r="M18" s="15">
        <v>666152.52</v>
      </c>
      <c r="N18" s="5">
        <v>107490.58</v>
      </c>
    </row>
    <row r="19" spans="1:14">
      <c r="A19" s="5" t="s">
        <v>23</v>
      </c>
      <c r="B19" s="6">
        <v>45689</v>
      </c>
      <c r="C19" s="5" t="s">
        <v>24</v>
      </c>
      <c r="D19" s="5" t="s">
        <v>16</v>
      </c>
      <c r="E19" s="15">
        <v>59117.9</v>
      </c>
      <c r="F19" s="5">
        <v>4263</v>
      </c>
      <c r="G19" s="5">
        <v>0.11899999999999999</v>
      </c>
      <c r="H19" s="5">
        <v>9</v>
      </c>
      <c r="I19" s="5">
        <v>87.6</v>
      </c>
      <c r="J19" s="5">
        <v>4.01</v>
      </c>
      <c r="K19" s="5">
        <v>0</v>
      </c>
      <c r="L19" s="5">
        <v>3.6</v>
      </c>
      <c r="M19" s="15">
        <v>573155.18999999994</v>
      </c>
      <c r="N19" s="5">
        <v>83680.75</v>
      </c>
    </row>
    <row r="20" spans="1:14">
      <c r="A20" s="5" t="s">
        <v>23</v>
      </c>
      <c r="B20" s="6">
        <v>45717</v>
      </c>
      <c r="C20" s="5" t="s">
        <v>24</v>
      </c>
      <c r="D20" s="5" t="s">
        <v>16</v>
      </c>
      <c r="E20" s="15">
        <v>78831.12</v>
      </c>
      <c r="F20" s="5">
        <v>5538</v>
      </c>
      <c r="G20" s="5">
        <v>0</v>
      </c>
      <c r="H20" s="5">
        <v>15</v>
      </c>
      <c r="I20" s="5">
        <v>94.1</v>
      </c>
      <c r="J20" s="5">
        <v>0.2</v>
      </c>
      <c r="K20" s="5">
        <v>0</v>
      </c>
      <c r="L20" s="5">
        <v>3.9</v>
      </c>
      <c r="M20" s="15">
        <v>666573.19999999995</v>
      </c>
      <c r="N20" s="5">
        <v>140641.01999999999</v>
      </c>
    </row>
    <row r="21" spans="1:14">
      <c r="A21" s="5" t="s">
        <v>23</v>
      </c>
      <c r="B21" s="6">
        <v>45748</v>
      </c>
      <c r="C21" s="5" t="s">
        <v>24</v>
      </c>
      <c r="D21" s="5" t="s">
        <v>16</v>
      </c>
      <c r="E21" s="15">
        <v>41441.93</v>
      </c>
      <c r="F21" s="5">
        <v>4865</v>
      </c>
      <c r="G21" s="5">
        <v>0.158</v>
      </c>
      <c r="H21" s="5">
        <v>16</v>
      </c>
      <c r="I21" s="5">
        <v>88.3</v>
      </c>
      <c r="J21" s="5">
        <v>0.5</v>
      </c>
      <c r="K21" s="5">
        <v>0</v>
      </c>
      <c r="L21" s="5">
        <v>4</v>
      </c>
      <c r="M21" s="15">
        <v>591619.94999999995</v>
      </c>
      <c r="N21" s="5">
        <v>99521.35</v>
      </c>
    </row>
    <row r="22" spans="1:14">
      <c r="A22" s="5" t="s">
        <v>25</v>
      </c>
      <c r="B22" s="6">
        <v>45658</v>
      </c>
      <c r="C22" s="5" t="s">
        <v>20</v>
      </c>
      <c r="D22" s="5" t="s">
        <v>16</v>
      </c>
      <c r="E22" s="15">
        <v>30356.28</v>
      </c>
      <c r="F22" s="5">
        <v>2822</v>
      </c>
      <c r="G22" s="5">
        <v>0.23100000000000001</v>
      </c>
      <c r="H22" s="5">
        <v>9</v>
      </c>
      <c r="I22" s="5">
        <v>84.8</v>
      </c>
      <c r="J22" s="5">
        <v>6.95</v>
      </c>
      <c r="K22" s="5">
        <v>0</v>
      </c>
      <c r="L22" s="5">
        <v>5</v>
      </c>
      <c r="M22" s="15">
        <v>415721.82</v>
      </c>
      <c r="N22" s="5">
        <v>61179.15</v>
      </c>
    </row>
    <row r="23" spans="1:14">
      <c r="A23" s="5" t="s">
        <v>25</v>
      </c>
      <c r="B23" s="6">
        <v>45689</v>
      </c>
      <c r="C23" s="5" t="s">
        <v>20</v>
      </c>
      <c r="D23" s="5" t="s">
        <v>16</v>
      </c>
      <c r="E23" s="15">
        <v>33518.879999999997</v>
      </c>
      <c r="F23" s="5">
        <v>2121</v>
      </c>
      <c r="G23" s="5">
        <v>0.17599999999999999</v>
      </c>
      <c r="H23" s="5">
        <v>8</v>
      </c>
      <c r="I23" s="5">
        <v>88.5</v>
      </c>
      <c r="J23" s="5">
        <v>0.2</v>
      </c>
      <c r="K23" s="5">
        <v>0</v>
      </c>
      <c r="L23" s="5">
        <v>5</v>
      </c>
      <c r="M23" s="15">
        <v>491905.13</v>
      </c>
      <c r="N23" s="5">
        <v>79212.259999999995</v>
      </c>
    </row>
    <row r="24" spans="1:14">
      <c r="A24" s="5" t="s">
        <v>25</v>
      </c>
      <c r="B24" s="6">
        <v>45717</v>
      </c>
      <c r="C24" s="5" t="s">
        <v>20</v>
      </c>
      <c r="D24" s="5" t="s">
        <v>16</v>
      </c>
      <c r="E24" s="15">
        <v>42267.37</v>
      </c>
      <c r="F24" s="5">
        <v>3364</v>
      </c>
      <c r="G24" s="5">
        <v>0.16</v>
      </c>
      <c r="H24" s="5">
        <v>13</v>
      </c>
      <c r="I24" s="5">
        <v>82</v>
      </c>
      <c r="J24" s="5">
        <v>1.61</v>
      </c>
      <c r="K24" s="5">
        <v>1</v>
      </c>
      <c r="L24" s="5">
        <v>4.5999999999999996</v>
      </c>
      <c r="M24" s="15">
        <v>555929.4</v>
      </c>
      <c r="N24" s="5">
        <v>115201.76</v>
      </c>
    </row>
    <row r="25" spans="1:14">
      <c r="A25" s="5" t="s">
        <v>25</v>
      </c>
      <c r="B25" s="6">
        <v>45748</v>
      </c>
      <c r="C25" s="5" t="s">
        <v>20</v>
      </c>
      <c r="D25" s="5" t="s">
        <v>16</v>
      </c>
      <c r="E25" s="15">
        <v>62060.43</v>
      </c>
      <c r="F25" s="5">
        <v>2613</v>
      </c>
      <c r="G25" s="5">
        <v>0.216</v>
      </c>
      <c r="H25" s="5">
        <v>12</v>
      </c>
      <c r="I25" s="5">
        <v>92.1</v>
      </c>
      <c r="J25" s="5">
        <v>1.55</v>
      </c>
      <c r="K25" s="5">
        <v>0</v>
      </c>
      <c r="L25" s="5">
        <v>4.7</v>
      </c>
      <c r="M25" s="15">
        <v>565810.99</v>
      </c>
      <c r="N25" s="5">
        <v>77825.460000000006</v>
      </c>
    </row>
    <row r="26" spans="1:14">
      <c r="A26" s="5" t="s">
        <v>26</v>
      </c>
      <c r="B26" s="6">
        <v>45658</v>
      </c>
      <c r="C26" s="5" t="s">
        <v>27</v>
      </c>
      <c r="D26" s="5" t="s">
        <v>28</v>
      </c>
      <c r="E26" s="15">
        <v>57696.69</v>
      </c>
      <c r="F26" s="5">
        <v>10218</v>
      </c>
      <c r="G26" s="5">
        <v>0.121</v>
      </c>
      <c r="H26" s="5">
        <v>25</v>
      </c>
      <c r="I26" s="5">
        <v>94.8</v>
      </c>
      <c r="J26" s="5">
        <v>2.99</v>
      </c>
      <c r="K26" s="5">
        <v>0</v>
      </c>
      <c r="L26" s="5">
        <v>3.5</v>
      </c>
      <c r="M26" s="15">
        <v>811771.14</v>
      </c>
      <c r="N26" s="5">
        <v>148756.24</v>
      </c>
    </row>
    <row r="27" spans="1:14">
      <c r="A27" s="5" t="s">
        <v>26</v>
      </c>
      <c r="B27" s="6">
        <v>45689</v>
      </c>
      <c r="C27" s="5" t="s">
        <v>27</v>
      </c>
      <c r="D27" s="5" t="s">
        <v>28</v>
      </c>
      <c r="E27" s="15">
        <v>172415.52</v>
      </c>
      <c r="F27" s="5">
        <v>8927</v>
      </c>
      <c r="G27" s="5">
        <v>0.14000000000000001</v>
      </c>
      <c r="H27" s="5">
        <v>22</v>
      </c>
      <c r="I27" s="5">
        <v>86.2</v>
      </c>
      <c r="J27" s="5">
        <v>7.04</v>
      </c>
      <c r="K27" s="5">
        <v>0</v>
      </c>
      <c r="L27" s="5">
        <v>3.9</v>
      </c>
      <c r="M27" s="15">
        <v>800451.94</v>
      </c>
      <c r="N27" s="5">
        <v>111572.29</v>
      </c>
    </row>
    <row r="28" spans="1:14">
      <c r="A28" s="5" t="s">
        <v>26</v>
      </c>
      <c r="B28" s="6">
        <v>45717</v>
      </c>
      <c r="C28" s="5" t="s">
        <v>27</v>
      </c>
      <c r="D28" s="5" t="s">
        <v>28</v>
      </c>
      <c r="E28" s="15">
        <v>55270.52</v>
      </c>
      <c r="F28" s="5">
        <v>9315</v>
      </c>
      <c r="G28" s="5">
        <v>0.16900000000000001</v>
      </c>
      <c r="H28" s="5">
        <v>23</v>
      </c>
      <c r="I28" s="5">
        <v>91.9</v>
      </c>
      <c r="J28" s="5">
        <v>4.9400000000000004</v>
      </c>
      <c r="K28" s="5">
        <v>0</v>
      </c>
      <c r="L28" s="5">
        <v>4</v>
      </c>
      <c r="M28" s="15">
        <v>783672.82</v>
      </c>
      <c r="N28" s="5">
        <v>112577.14</v>
      </c>
    </row>
    <row r="29" spans="1:14">
      <c r="A29" s="5" t="s">
        <v>26</v>
      </c>
      <c r="B29" s="6">
        <v>45748</v>
      </c>
      <c r="C29" s="5" t="s">
        <v>27</v>
      </c>
      <c r="D29" s="5" t="s">
        <v>28</v>
      </c>
      <c r="E29" s="15">
        <v>52715.1</v>
      </c>
      <c r="F29" s="5">
        <v>7223</v>
      </c>
      <c r="G29" s="5">
        <v>0.122</v>
      </c>
      <c r="H29" s="5">
        <v>16</v>
      </c>
      <c r="I29" s="5">
        <v>84.2</v>
      </c>
      <c r="J29" s="5">
        <v>16.149999999999999</v>
      </c>
      <c r="K29" s="5">
        <v>0</v>
      </c>
      <c r="L29" s="5">
        <v>3.7</v>
      </c>
      <c r="M29" s="15">
        <v>701641.97</v>
      </c>
      <c r="N29" s="5">
        <v>106111.86</v>
      </c>
    </row>
    <row r="30" spans="1:14">
      <c r="A30" s="5" t="s">
        <v>29</v>
      </c>
      <c r="B30" s="6">
        <v>45658</v>
      </c>
      <c r="C30" s="5" t="s">
        <v>15</v>
      </c>
      <c r="D30" s="5" t="s">
        <v>16</v>
      </c>
      <c r="E30" s="15">
        <v>68600.62</v>
      </c>
      <c r="F30" s="5">
        <v>3988</v>
      </c>
      <c r="G30" s="5">
        <v>0.124</v>
      </c>
      <c r="H30" s="5">
        <v>11</v>
      </c>
      <c r="I30" s="5">
        <v>85</v>
      </c>
      <c r="J30" s="5">
        <v>0.48</v>
      </c>
      <c r="K30" s="5">
        <v>0</v>
      </c>
      <c r="L30" s="5">
        <v>3.6</v>
      </c>
      <c r="M30" s="15">
        <v>511844.41</v>
      </c>
      <c r="N30" s="5">
        <v>72774.44</v>
      </c>
    </row>
    <row r="31" spans="1:14">
      <c r="A31" s="5" t="s">
        <v>29</v>
      </c>
      <c r="B31" s="6">
        <v>45689</v>
      </c>
      <c r="C31" s="5" t="s">
        <v>15</v>
      </c>
      <c r="D31" s="5" t="s">
        <v>16</v>
      </c>
      <c r="E31" s="15">
        <v>63176.73</v>
      </c>
      <c r="F31" s="5">
        <v>2390</v>
      </c>
      <c r="G31" s="5">
        <v>0.216</v>
      </c>
      <c r="H31" s="5">
        <v>9</v>
      </c>
      <c r="I31" s="5">
        <v>87.5</v>
      </c>
      <c r="J31" s="5">
        <v>0.31</v>
      </c>
      <c r="K31" s="5">
        <v>0</v>
      </c>
      <c r="L31" s="5">
        <v>3.1</v>
      </c>
      <c r="M31" s="15">
        <v>537383.79</v>
      </c>
      <c r="N31" s="5">
        <v>63773.27</v>
      </c>
    </row>
    <row r="32" spans="1:14">
      <c r="A32" s="5" t="s">
        <v>29</v>
      </c>
      <c r="B32" s="6">
        <v>45717</v>
      </c>
      <c r="C32" s="5" t="s">
        <v>15</v>
      </c>
      <c r="D32" s="5" t="s">
        <v>16</v>
      </c>
      <c r="E32" s="15">
        <v>44970.080000000002</v>
      </c>
      <c r="F32" s="5">
        <v>2471</v>
      </c>
      <c r="G32" s="5">
        <v>0.13600000000000001</v>
      </c>
      <c r="H32" s="5">
        <v>11</v>
      </c>
      <c r="I32" s="5">
        <v>87.6</v>
      </c>
      <c r="J32" s="5">
        <v>3.01</v>
      </c>
      <c r="K32" s="5">
        <v>1</v>
      </c>
      <c r="L32" s="5">
        <v>3.7</v>
      </c>
      <c r="M32" s="15">
        <v>500173.02</v>
      </c>
      <c r="N32" s="5">
        <v>70982.05</v>
      </c>
    </row>
    <row r="33" spans="1:14">
      <c r="A33" s="5" t="s">
        <v>29</v>
      </c>
      <c r="B33" s="6">
        <v>45748</v>
      </c>
      <c r="C33" s="5" t="s">
        <v>15</v>
      </c>
      <c r="D33" s="5" t="s">
        <v>16</v>
      </c>
      <c r="E33" s="15">
        <v>69816.350000000006</v>
      </c>
      <c r="F33" s="5">
        <v>971</v>
      </c>
      <c r="G33" s="5">
        <v>0.16800000000000001</v>
      </c>
      <c r="H33" s="5">
        <v>5</v>
      </c>
      <c r="I33" s="5">
        <v>89.9</v>
      </c>
      <c r="J33" s="5">
        <v>12.15</v>
      </c>
      <c r="K33" s="5">
        <v>0</v>
      </c>
      <c r="L33" s="5">
        <v>3.6</v>
      </c>
      <c r="M33" s="15">
        <v>427917.38</v>
      </c>
      <c r="N33" s="5">
        <v>81824.31</v>
      </c>
    </row>
    <row r="34" spans="1:14">
      <c r="A34" s="5" t="s">
        <v>30</v>
      </c>
      <c r="B34" s="6">
        <v>45658</v>
      </c>
      <c r="C34" s="5" t="s">
        <v>20</v>
      </c>
      <c r="D34" s="5" t="s">
        <v>16</v>
      </c>
      <c r="E34" s="15">
        <v>54597.83</v>
      </c>
      <c r="F34" s="5">
        <v>9429</v>
      </c>
      <c r="G34" s="5">
        <v>0.188</v>
      </c>
      <c r="H34" s="5">
        <v>21</v>
      </c>
      <c r="I34" s="5">
        <v>83.3</v>
      </c>
      <c r="J34" s="5">
        <v>11.71</v>
      </c>
      <c r="K34" s="5">
        <v>0</v>
      </c>
      <c r="L34" s="5">
        <v>4.2</v>
      </c>
      <c r="M34" s="15">
        <v>641865.03</v>
      </c>
      <c r="N34" s="5">
        <v>81342.58</v>
      </c>
    </row>
    <row r="35" spans="1:14">
      <c r="A35" s="5" t="s">
        <v>30</v>
      </c>
      <c r="B35" s="6">
        <v>45689</v>
      </c>
      <c r="C35" s="5" t="s">
        <v>20</v>
      </c>
      <c r="D35" s="5" t="s">
        <v>16</v>
      </c>
      <c r="E35" s="15">
        <v>73771.91</v>
      </c>
      <c r="F35" s="5">
        <v>11695</v>
      </c>
      <c r="G35" s="5">
        <v>7.0000000000000007E-2</v>
      </c>
      <c r="H35" s="5">
        <v>25</v>
      </c>
      <c r="I35" s="5">
        <v>84.7</v>
      </c>
      <c r="J35" s="5">
        <v>0.62</v>
      </c>
      <c r="K35" s="5">
        <v>0</v>
      </c>
      <c r="L35" s="5">
        <v>3.9</v>
      </c>
      <c r="M35" s="15">
        <v>799477.76000000001</v>
      </c>
      <c r="N35" s="5">
        <v>164974.41</v>
      </c>
    </row>
    <row r="36" spans="1:14">
      <c r="A36" s="5" t="s">
        <v>30</v>
      </c>
      <c r="B36" s="6">
        <v>45717</v>
      </c>
      <c r="C36" s="5" t="s">
        <v>20</v>
      </c>
      <c r="D36" s="5" t="s">
        <v>16</v>
      </c>
      <c r="E36" s="15">
        <v>74413.88</v>
      </c>
      <c r="F36" s="5">
        <v>9449</v>
      </c>
      <c r="G36" s="5">
        <v>3.9E-2</v>
      </c>
      <c r="H36" s="5">
        <v>23</v>
      </c>
      <c r="I36" s="5">
        <v>92.1</v>
      </c>
      <c r="J36" s="5">
        <v>2.12</v>
      </c>
      <c r="K36" s="5">
        <v>0</v>
      </c>
      <c r="L36" s="5">
        <v>3.5</v>
      </c>
      <c r="M36" s="15">
        <v>798952.17</v>
      </c>
      <c r="N36" s="5">
        <v>161499.04</v>
      </c>
    </row>
    <row r="37" spans="1:14">
      <c r="A37" s="5" t="s">
        <v>30</v>
      </c>
      <c r="B37" s="6">
        <v>45748</v>
      </c>
      <c r="C37" s="5" t="s">
        <v>20</v>
      </c>
      <c r="D37" s="5" t="s">
        <v>16</v>
      </c>
      <c r="E37" s="15">
        <v>52483.77</v>
      </c>
      <c r="F37" s="5">
        <v>10453</v>
      </c>
      <c r="G37" s="5">
        <v>0.247</v>
      </c>
      <c r="H37" s="5">
        <v>25</v>
      </c>
      <c r="I37" s="5">
        <v>99</v>
      </c>
      <c r="J37" s="5">
        <v>6.31</v>
      </c>
      <c r="K37" s="5">
        <v>0</v>
      </c>
      <c r="L37" s="5">
        <v>3.6</v>
      </c>
      <c r="M37" s="15">
        <v>800979.78</v>
      </c>
      <c r="N37" s="5">
        <v>149242.26999999999</v>
      </c>
    </row>
    <row r="38" spans="1:14">
      <c r="A38" s="5" t="s">
        <v>31</v>
      </c>
      <c r="B38" s="6">
        <v>45658</v>
      </c>
      <c r="C38" s="5" t="s">
        <v>20</v>
      </c>
      <c r="D38" s="5" t="s">
        <v>28</v>
      </c>
      <c r="E38" s="15">
        <v>75269.87</v>
      </c>
      <c r="F38" s="5">
        <v>8838</v>
      </c>
      <c r="G38" s="5">
        <v>9.1999999999999998E-2</v>
      </c>
      <c r="H38" s="5">
        <v>21</v>
      </c>
      <c r="I38" s="5">
        <v>83.1</v>
      </c>
      <c r="J38" s="5">
        <v>9.56</v>
      </c>
      <c r="K38" s="5">
        <v>1</v>
      </c>
      <c r="L38" s="5">
        <v>4.2</v>
      </c>
      <c r="M38" s="15">
        <v>820593.93</v>
      </c>
      <c r="N38" s="5">
        <v>115860.06</v>
      </c>
    </row>
    <row r="39" spans="1:14">
      <c r="A39" s="5" t="s">
        <v>31</v>
      </c>
      <c r="B39" s="6">
        <v>45689</v>
      </c>
      <c r="C39" s="5" t="s">
        <v>20</v>
      </c>
      <c r="D39" s="5" t="s">
        <v>28</v>
      </c>
      <c r="E39" s="15">
        <v>61245.41</v>
      </c>
      <c r="F39" s="5">
        <v>8156</v>
      </c>
      <c r="G39" s="5">
        <v>0.156</v>
      </c>
      <c r="H39" s="5">
        <v>19</v>
      </c>
      <c r="I39" s="5">
        <v>92.9</v>
      </c>
      <c r="J39" s="5">
        <v>9.0500000000000007</v>
      </c>
      <c r="K39" s="5">
        <v>0</v>
      </c>
      <c r="L39" s="5">
        <v>3.8</v>
      </c>
      <c r="M39" s="15">
        <v>718330.53</v>
      </c>
      <c r="N39" s="5">
        <v>93247.9</v>
      </c>
    </row>
    <row r="40" spans="1:14">
      <c r="A40" s="5" t="s">
        <v>31</v>
      </c>
      <c r="B40" s="6">
        <v>45717</v>
      </c>
      <c r="C40" s="5" t="s">
        <v>20</v>
      </c>
      <c r="D40" s="5" t="s">
        <v>28</v>
      </c>
      <c r="E40" s="15">
        <v>93381.26</v>
      </c>
      <c r="F40" s="5">
        <v>7562</v>
      </c>
      <c r="G40" s="5">
        <v>0.19800000000000001</v>
      </c>
      <c r="H40" s="5">
        <v>19</v>
      </c>
      <c r="I40" s="5">
        <v>82.9</v>
      </c>
      <c r="J40" s="5">
        <v>5.05</v>
      </c>
      <c r="K40" s="5">
        <v>0</v>
      </c>
      <c r="L40" s="5">
        <v>4</v>
      </c>
      <c r="M40" s="15">
        <v>736633.4</v>
      </c>
      <c r="N40" s="5">
        <v>115654.66</v>
      </c>
    </row>
    <row r="41" spans="1:14">
      <c r="A41" s="5" t="s">
        <v>31</v>
      </c>
      <c r="B41" s="6">
        <v>45748</v>
      </c>
      <c r="C41" s="5" t="s">
        <v>20</v>
      </c>
      <c r="D41" s="5" t="s">
        <v>28</v>
      </c>
      <c r="E41" s="15">
        <v>65012.19</v>
      </c>
      <c r="F41" s="5">
        <v>9598</v>
      </c>
      <c r="G41" s="5">
        <v>8.5000000000000006E-2</v>
      </c>
      <c r="H41" s="5">
        <v>24</v>
      </c>
      <c r="I41" s="5">
        <v>98.3</v>
      </c>
      <c r="J41" s="5">
        <v>0.89</v>
      </c>
      <c r="K41" s="5">
        <v>0</v>
      </c>
      <c r="L41" s="5">
        <v>3.8</v>
      </c>
      <c r="M41" s="15">
        <v>828623.85</v>
      </c>
      <c r="N41" s="5">
        <v>167320.51999999999</v>
      </c>
    </row>
    <row r="42" spans="1:14">
      <c r="A42" s="5" t="s">
        <v>32</v>
      </c>
      <c r="B42" s="6">
        <v>45658</v>
      </c>
      <c r="C42" s="5" t="s">
        <v>15</v>
      </c>
      <c r="D42" s="5" t="s">
        <v>28</v>
      </c>
      <c r="E42" s="15">
        <v>40462.94</v>
      </c>
      <c r="F42" s="5">
        <v>3660</v>
      </c>
      <c r="G42" s="5">
        <v>0.218</v>
      </c>
      <c r="H42" s="5">
        <v>11</v>
      </c>
      <c r="I42" s="5">
        <v>95.2</v>
      </c>
      <c r="J42" s="5">
        <v>5.57</v>
      </c>
      <c r="K42" s="5">
        <v>0</v>
      </c>
      <c r="L42" s="5">
        <v>4.4000000000000004</v>
      </c>
      <c r="M42" s="15">
        <v>592195.85</v>
      </c>
      <c r="N42" s="5">
        <v>92291.56</v>
      </c>
    </row>
    <row r="43" spans="1:14">
      <c r="A43" s="5" t="s">
        <v>32</v>
      </c>
      <c r="B43" s="6">
        <v>45689</v>
      </c>
      <c r="C43" s="5" t="s">
        <v>15</v>
      </c>
      <c r="D43" s="5" t="s">
        <v>28</v>
      </c>
      <c r="E43" s="15">
        <v>46123.88</v>
      </c>
      <c r="F43" s="5">
        <v>3227</v>
      </c>
      <c r="G43" s="5">
        <v>0.14299999999999999</v>
      </c>
      <c r="H43" s="5">
        <v>10</v>
      </c>
      <c r="I43" s="5">
        <v>75.400000000000006</v>
      </c>
      <c r="J43" s="5">
        <v>1.06</v>
      </c>
      <c r="K43" s="5">
        <v>0</v>
      </c>
      <c r="L43" s="5">
        <v>4.4000000000000004</v>
      </c>
      <c r="M43" s="15">
        <v>532644.46</v>
      </c>
      <c r="N43" s="5">
        <v>60681.32</v>
      </c>
    </row>
    <row r="44" spans="1:14">
      <c r="A44" s="5" t="s">
        <v>32</v>
      </c>
      <c r="B44" s="6">
        <v>45717</v>
      </c>
      <c r="C44" s="5" t="s">
        <v>15</v>
      </c>
      <c r="D44" s="5" t="s">
        <v>28</v>
      </c>
      <c r="E44" s="15">
        <v>68077.539999999994</v>
      </c>
      <c r="F44" s="5">
        <v>3360</v>
      </c>
      <c r="G44" s="5">
        <v>0.128</v>
      </c>
      <c r="H44" s="5">
        <v>14</v>
      </c>
      <c r="I44" s="5">
        <v>88.2</v>
      </c>
      <c r="J44" s="5">
        <v>1.24</v>
      </c>
      <c r="K44" s="5">
        <v>1</v>
      </c>
      <c r="L44" s="5">
        <v>4</v>
      </c>
      <c r="M44" s="15">
        <v>657429.18000000005</v>
      </c>
      <c r="N44" s="5">
        <v>88919.74</v>
      </c>
    </row>
    <row r="45" spans="1:14">
      <c r="A45" s="5" t="s">
        <v>32</v>
      </c>
      <c r="B45" s="6">
        <v>45748</v>
      </c>
      <c r="C45" s="5" t="s">
        <v>15</v>
      </c>
      <c r="D45" s="5" t="s">
        <v>28</v>
      </c>
      <c r="E45" s="15">
        <v>64882.14</v>
      </c>
      <c r="F45" s="5">
        <v>3642</v>
      </c>
      <c r="G45" s="5">
        <v>1.9E-2</v>
      </c>
      <c r="H45" s="5">
        <v>13</v>
      </c>
      <c r="I45" s="5">
        <v>87.8</v>
      </c>
      <c r="J45" s="5">
        <v>4.5199999999999996</v>
      </c>
      <c r="K45" s="5">
        <v>0</v>
      </c>
      <c r="L45" s="5">
        <v>4.2</v>
      </c>
      <c r="M45" s="15">
        <v>605178</v>
      </c>
      <c r="N45" s="5">
        <v>106958.74</v>
      </c>
    </row>
    <row r="46" spans="1:14">
      <c r="A46" s="5" t="s">
        <v>33</v>
      </c>
      <c r="B46" s="6">
        <v>45658</v>
      </c>
      <c r="C46" s="5" t="s">
        <v>27</v>
      </c>
      <c r="D46" s="5" t="s">
        <v>16</v>
      </c>
      <c r="E46" s="15">
        <v>138855.51</v>
      </c>
      <c r="F46" s="5">
        <v>5145</v>
      </c>
      <c r="G46" s="5">
        <v>0.06</v>
      </c>
      <c r="H46" s="5">
        <v>17</v>
      </c>
      <c r="I46" s="5">
        <v>88.2</v>
      </c>
      <c r="J46" s="5">
        <v>9.58</v>
      </c>
      <c r="K46" s="5">
        <v>0</v>
      </c>
      <c r="L46" s="5">
        <v>3.2</v>
      </c>
      <c r="M46" s="15">
        <v>595467.6</v>
      </c>
      <c r="N46" s="5">
        <v>104276.46</v>
      </c>
    </row>
    <row r="47" spans="1:14">
      <c r="A47" s="5" t="s">
        <v>33</v>
      </c>
      <c r="B47" s="6">
        <v>45689</v>
      </c>
      <c r="C47" s="5" t="s">
        <v>27</v>
      </c>
      <c r="D47" s="5" t="s">
        <v>16</v>
      </c>
      <c r="E47" s="15">
        <v>63630.21</v>
      </c>
      <c r="F47" s="5">
        <v>4460</v>
      </c>
      <c r="G47" s="5">
        <v>0.23499999999999999</v>
      </c>
      <c r="H47" s="5">
        <v>14</v>
      </c>
      <c r="I47" s="5">
        <v>98.6</v>
      </c>
      <c r="J47" s="5">
        <v>5.52</v>
      </c>
      <c r="K47" s="5">
        <v>0</v>
      </c>
      <c r="L47" s="5">
        <v>3.5</v>
      </c>
      <c r="M47" s="15">
        <v>599603.4</v>
      </c>
      <c r="N47" s="5">
        <v>112685.12</v>
      </c>
    </row>
    <row r="48" spans="1:14">
      <c r="A48" s="5" t="s">
        <v>33</v>
      </c>
      <c r="B48" s="6">
        <v>45717</v>
      </c>
      <c r="C48" s="5" t="s">
        <v>27</v>
      </c>
      <c r="D48" s="5" t="s">
        <v>16</v>
      </c>
      <c r="E48" s="15">
        <v>50043.65</v>
      </c>
      <c r="F48" s="5">
        <v>3804</v>
      </c>
      <c r="G48" s="5">
        <v>0.113</v>
      </c>
      <c r="H48" s="5">
        <v>11</v>
      </c>
      <c r="I48" s="5">
        <v>90.9</v>
      </c>
      <c r="J48" s="5">
        <v>2.7</v>
      </c>
      <c r="K48" s="5">
        <v>1</v>
      </c>
      <c r="L48" s="5">
        <v>3.2</v>
      </c>
      <c r="M48" s="15">
        <v>614800.09</v>
      </c>
      <c r="N48" s="5">
        <v>100044.2</v>
      </c>
    </row>
    <row r="49" spans="1:14">
      <c r="A49" s="5" t="s">
        <v>33</v>
      </c>
      <c r="B49" s="6">
        <v>45748</v>
      </c>
      <c r="C49" s="5" t="s">
        <v>27</v>
      </c>
      <c r="D49" s="5" t="s">
        <v>16</v>
      </c>
      <c r="E49" s="15">
        <v>42093.84</v>
      </c>
      <c r="F49" s="5">
        <v>4074</v>
      </c>
      <c r="G49" s="5">
        <v>0.155</v>
      </c>
      <c r="H49" s="5">
        <v>15</v>
      </c>
      <c r="I49" s="5">
        <v>88</v>
      </c>
      <c r="J49" s="5">
        <v>9.64</v>
      </c>
      <c r="K49" s="5">
        <v>0</v>
      </c>
      <c r="L49" s="5">
        <v>3.3</v>
      </c>
      <c r="M49" s="15">
        <v>585365.73</v>
      </c>
      <c r="N49" s="5">
        <v>81011.520000000004</v>
      </c>
    </row>
    <row r="50" spans="1:14">
      <c r="A50" s="5" t="s">
        <v>34</v>
      </c>
      <c r="B50" s="6">
        <v>45658</v>
      </c>
      <c r="C50" s="5" t="s">
        <v>20</v>
      </c>
      <c r="D50" s="5" t="s">
        <v>28</v>
      </c>
      <c r="E50" s="15">
        <v>46624.05</v>
      </c>
      <c r="F50" s="5">
        <v>5104</v>
      </c>
      <c r="G50" s="5">
        <v>0.109</v>
      </c>
      <c r="H50" s="5">
        <v>11</v>
      </c>
      <c r="I50" s="5">
        <v>97.3</v>
      </c>
      <c r="J50" s="5">
        <v>3.49</v>
      </c>
      <c r="K50" s="5">
        <v>1</v>
      </c>
      <c r="L50" s="5">
        <v>4.7</v>
      </c>
      <c r="M50" s="15">
        <v>622811.74</v>
      </c>
      <c r="N50" s="5">
        <v>109978.35</v>
      </c>
    </row>
    <row r="51" spans="1:14">
      <c r="A51" s="5" t="s">
        <v>34</v>
      </c>
      <c r="B51" s="6">
        <v>45689</v>
      </c>
      <c r="C51" s="5" t="s">
        <v>20</v>
      </c>
      <c r="D51" s="5" t="s">
        <v>28</v>
      </c>
      <c r="E51" s="15">
        <v>49710.29</v>
      </c>
      <c r="F51" s="5">
        <v>5559</v>
      </c>
      <c r="G51" s="5">
        <v>0.218</v>
      </c>
      <c r="H51" s="5">
        <v>14</v>
      </c>
      <c r="I51" s="5">
        <v>71</v>
      </c>
      <c r="J51" s="5">
        <v>9.11</v>
      </c>
      <c r="K51" s="5">
        <v>0</v>
      </c>
      <c r="L51" s="5">
        <v>4.5999999999999996</v>
      </c>
      <c r="M51" s="15">
        <v>603297.56999999995</v>
      </c>
      <c r="N51" s="5">
        <v>60592.26</v>
      </c>
    </row>
    <row r="52" spans="1:14">
      <c r="A52" s="5" t="s">
        <v>34</v>
      </c>
      <c r="B52" s="6">
        <v>45717</v>
      </c>
      <c r="C52" s="5" t="s">
        <v>20</v>
      </c>
      <c r="D52" s="5" t="s">
        <v>28</v>
      </c>
      <c r="E52" s="15">
        <v>48287.85</v>
      </c>
      <c r="F52" s="5">
        <v>5150</v>
      </c>
      <c r="G52" s="5">
        <v>8.0000000000000002E-3</v>
      </c>
      <c r="H52" s="5">
        <v>12</v>
      </c>
      <c r="I52" s="5">
        <v>80.400000000000006</v>
      </c>
      <c r="J52" s="5">
        <v>7.4</v>
      </c>
      <c r="K52" s="5">
        <v>0</v>
      </c>
      <c r="L52" s="5">
        <v>4.5</v>
      </c>
      <c r="M52" s="15">
        <v>625672.86</v>
      </c>
      <c r="N52" s="5">
        <v>118020.12</v>
      </c>
    </row>
    <row r="53" spans="1:14">
      <c r="A53" s="5" t="s">
        <v>34</v>
      </c>
      <c r="B53" s="6">
        <v>45748</v>
      </c>
      <c r="C53" s="5" t="s">
        <v>20</v>
      </c>
      <c r="D53" s="5" t="s">
        <v>28</v>
      </c>
      <c r="E53" s="15">
        <v>65312.49</v>
      </c>
      <c r="F53" s="5">
        <v>7189</v>
      </c>
      <c r="G53" s="5">
        <v>0.05</v>
      </c>
      <c r="H53" s="5">
        <v>19</v>
      </c>
      <c r="I53" s="5">
        <v>93.7</v>
      </c>
      <c r="J53" s="5">
        <v>7.16</v>
      </c>
      <c r="K53" s="5">
        <v>0</v>
      </c>
      <c r="L53" s="5">
        <v>4.5999999999999996</v>
      </c>
      <c r="M53" s="15">
        <v>773815.14</v>
      </c>
      <c r="N53" s="5">
        <v>133948.39000000001</v>
      </c>
    </row>
    <row r="54" spans="1:14">
      <c r="A54" s="5" t="s">
        <v>35</v>
      </c>
      <c r="B54" s="6">
        <v>45658</v>
      </c>
      <c r="C54" s="5" t="s">
        <v>27</v>
      </c>
      <c r="D54" s="5" t="s">
        <v>18</v>
      </c>
      <c r="E54" s="15">
        <v>53015.46</v>
      </c>
      <c r="F54" s="5">
        <v>3279</v>
      </c>
      <c r="G54" s="5">
        <v>8.6999999999999994E-2</v>
      </c>
      <c r="H54" s="5">
        <v>9</v>
      </c>
      <c r="I54" s="5">
        <v>84.3</v>
      </c>
      <c r="J54" s="5">
        <v>22.02</v>
      </c>
      <c r="K54" s="5">
        <v>0</v>
      </c>
      <c r="L54" s="5">
        <v>3.9</v>
      </c>
      <c r="M54" s="15">
        <v>463534.25</v>
      </c>
      <c r="N54" s="5">
        <v>81834.539999999994</v>
      </c>
    </row>
    <row r="55" spans="1:14">
      <c r="A55" s="5" t="s">
        <v>35</v>
      </c>
      <c r="B55" s="6">
        <v>45689</v>
      </c>
      <c r="C55" s="5" t="s">
        <v>27</v>
      </c>
      <c r="D55" s="5" t="s">
        <v>18</v>
      </c>
      <c r="E55" s="15">
        <v>99874.01</v>
      </c>
      <c r="F55" s="5">
        <v>5887</v>
      </c>
      <c r="G55" s="5">
        <v>0.26200000000000001</v>
      </c>
      <c r="H55" s="5">
        <v>14</v>
      </c>
      <c r="I55" s="5">
        <v>88.7</v>
      </c>
      <c r="J55" s="5">
        <v>6.18</v>
      </c>
      <c r="K55" s="5">
        <v>0</v>
      </c>
      <c r="L55" s="5">
        <v>4.7</v>
      </c>
      <c r="M55" s="15">
        <v>746677.75</v>
      </c>
      <c r="N55" s="5">
        <v>122437.84</v>
      </c>
    </row>
    <row r="56" spans="1:14">
      <c r="A56" s="5" t="s">
        <v>35</v>
      </c>
      <c r="B56" s="6">
        <v>45717</v>
      </c>
      <c r="C56" s="5" t="s">
        <v>27</v>
      </c>
      <c r="D56" s="5" t="s">
        <v>18</v>
      </c>
      <c r="E56" s="15">
        <v>81195.5</v>
      </c>
      <c r="F56" s="5">
        <v>5516</v>
      </c>
      <c r="G56" s="5">
        <v>0.106</v>
      </c>
      <c r="H56" s="5">
        <v>14</v>
      </c>
      <c r="I56" s="5">
        <v>88</v>
      </c>
      <c r="J56" s="5">
        <v>1.76</v>
      </c>
      <c r="K56" s="5">
        <v>0</v>
      </c>
      <c r="L56" s="5">
        <v>4.3</v>
      </c>
      <c r="M56" s="15">
        <v>720852.5</v>
      </c>
      <c r="N56" s="5">
        <v>98565.62</v>
      </c>
    </row>
    <row r="57" spans="1:14">
      <c r="A57" s="5" t="s">
        <v>35</v>
      </c>
      <c r="B57" s="6">
        <v>45748</v>
      </c>
      <c r="C57" s="5" t="s">
        <v>27</v>
      </c>
      <c r="D57" s="5" t="s">
        <v>18</v>
      </c>
      <c r="E57" s="15">
        <v>27808.6</v>
      </c>
      <c r="F57" s="5">
        <v>2863</v>
      </c>
      <c r="G57" s="5">
        <v>0.08</v>
      </c>
      <c r="H57" s="5">
        <v>13</v>
      </c>
      <c r="I57" s="5">
        <v>89.3</v>
      </c>
      <c r="J57" s="5">
        <v>0.47</v>
      </c>
      <c r="K57" s="5">
        <v>0</v>
      </c>
      <c r="L57" s="5">
        <v>4.0999999999999996</v>
      </c>
      <c r="M57" s="15">
        <v>487464.91</v>
      </c>
      <c r="N57" s="5">
        <v>64562.26</v>
      </c>
    </row>
    <row r="58" spans="1:14">
      <c r="A58" s="5" t="s">
        <v>36</v>
      </c>
      <c r="B58" s="6">
        <v>45658</v>
      </c>
      <c r="C58" s="5" t="s">
        <v>15</v>
      </c>
      <c r="D58" s="5" t="s">
        <v>21</v>
      </c>
      <c r="E58" s="15">
        <v>19365.060000000001</v>
      </c>
      <c r="F58" s="5">
        <v>2378</v>
      </c>
      <c r="G58" s="5">
        <v>0</v>
      </c>
      <c r="H58" s="5">
        <v>12</v>
      </c>
      <c r="I58" s="5">
        <v>94.8</v>
      </c>
      <c r="J58" s="5">
        <v>0.2</v>
      </c>
      <c r="K58" s="5">
        <v>0</v>
      </c>
      <c r="L58" s="5">
        <v>3.5</v>
      </c>
      <c r="M58" s="15">
        <v>518049.26</v>
      </c>
      <c r="N58" s="5">
        <v>108592.49</v>
      </c>
    </row>
    <row r="59" spans="1:14">
      <c r="A59" s="5" t="s">
        <v>36</v>
      </c>
      <c r="B59" s="6">
        <v>45689</v>
      </c>
      <c r="C59" s="5" t="s">
        <v>15</v>
      </c>
      <c r="D59" s="5" t="s">
        <v>21</v>
      </c>
      <c r="E59" s="15">
        <v>59405.68</v>
      </c>
      <c r="F59" s="5">
        <v>2515</v>
      </c>
      <c r="G59" s="5">
        <v>3.9E-2</v>
      </c>
      <c r="H59" s="5">
        <v>12</v>
      </c>
      <c r="I59" s="5">
        <v>76</v>
      </c>
      <c r="J59" s="5">
        <v>5.1100000000000003</v>
      </c>
      <c r="K59" s="5">
        <v>0</v>
      </c>
      <c r="L59" s="5">
        <v>3.7</v>
      </c>
      <c r="M59" s="15">
        <v>500298.48</v>
      </c>
      <c r="N59" s="5">
        <v>73461.320000000007</v>
      </c>
    </row>
    <row r="60" spans="1:14">
      <c r="A60" s="5" t="s">
        <v>36</v>
      </c>
      <c r="B60" s="6">
        <v>45717</v>
      </c>
      <c r="C60" s="5" t="s">
        <v>15</v>
      </c>
      <c r="D60" s="5" t="s">
        <v>21</v>
      </c>
      <c r="E60" s="15">
        <v>118910.48</v>
      </c>
      <c r="F60" s="5">
        <v>4022</v>
      </c>
      <c r="G60" s="5">
        <v>0.13700000000000001</v>
      </c>
      <c r="H60" s="5">
        <v>11</v>
      </c>
      <c r="I60" s="5">
        <v>87.1</v>
      </c>
      <c r="J60" s="5">
        <v>0.2</v>
      </c>
      <c r="K60" s="5">
        <v>0</v>
      </c>
      <c r="L60" s="5">
        <v>3.1</v>
      </c>
      <c r="M60" s="15">
        <v>617291.15</v>
      </c>
      <c r="N60" s="5">
        <v>117782</v>
      </c>
    </row>
    <row r="61" spans="1:14">
      <c r="A61" s="5" t="s">
        <v>36</v>
      </c>
      <c r="B61" s="6">
        <v>45748</v>
      </c>
      <c r="C61" s="5" t="s">
        <v>15</v>
      </c>
      <c r="D61" s="5" t="s">
        <v>21</v>
      </c>
      <c r="E61" s="15">
        <v>52952.12</v>
      </c>
      <c r="F61" s="5">
        <v>4377</v>
      </c>
      <c r="G61" s="5">
        <v>9.1999999999999998E-2</v>
      </c>
      <c r="H61" s="5">
        <v>14</v>
      </c>
      <c r="I61" s="5">
        <v>88.6</v>
      </c>
      <c r="J61" s="5">
        <v>13.59</v>
      </c>
      <c r="K61" s="5">
        <v>0</v>
      </c>
      <c r="L61" s="5">
        <v>3.1</v>
      </c>
      <c r="M61" s="15">
        <v>553756.43000000005</v>
      </c>
      <c r="N61" s="5">
        <v>86166.77</v>
      </c>
    </row>
    <row r="62" spans="1:14">
      <c r="A62" s="5" t="s">
        <v>37</v>
      </c>
      <c r="B62" s="6">
        <v>45658</v>
      </c>
      <c r="C62" s="5" t="s">
        <v>24</v>
      </c>
      <c r="D62" s="5" t="s">
        <v>18</v>
      </c>
      <c r="E62" s="15">
        <v>74907.98</v>
      </c>
      <c r="F62" s="5">
        <v>5306</v>
      </c>
      <c r="G62" s="5">
        <v>6.2E-2</v>
      </c>
      <c r="H62" s="5">
        <v>16</v>
      </c>
      <c r="I62" s="5">
        <v>95.6</v>
      </c>
      <c r="J62" s="5">
        <v>1.02</v>
      </c>
      <c r="K62" s="5">
        <v>0</v>
      </c>
      <c r="L62" s="5">
        <v>3.7</v>
      </c>
      <c r="M62" s="15">
        <v>749559.71</v>
      </c>
      <c r="N62" s="5">
        <v>144522.53</v>
      </c>
    </row>
    <row r="63" spans="1:14">
      <c r="A63" s="5" t="s">
        <v>37</v>
      </c>
      <c r="B63" s="6">
        <v>45689</v>
      </c>
      <c r="C63" s="5" t="s">
        <v>24</v>
      </c>
      <c r="D63" s="5" t="s">
        <v>18</v>
      </c>
      <c r="E63" s="15">
        <v>37284.660000000003</v>
      </c>
      <c r="F63" s="5">
        <v>3928</v>
      </c>
      <c r="G63" s="5">
        <v>7.3999999999999996E-2</v>
      </c>
      <c r="H63" s="5">
        <v>12</v>
      </c>
      <c r="I63" s="5">
        <v>86.5</v>
      </c>
      <c r="J63" s="5">
        <v>1.64</v>
      </c>
      <c r="K63" s="5">
        <v>0</v>
      </c>
      <c r="L63" s="5">
        <v>3.8</v>
      </c>
      <c r="M63" s="15">
        <v>615966.48</v>
      </c>
      <c r="N63" s="5">
        <v>91509.38</v>
      </c>
    </row>
    <row r="64" spans="1:14">
      <c r="A64" s="5" t="s">
        <v>37</v>
      </c>
      <c r="B64" s="6">
        <v>45717</v>
      </c>
      <c r="C64" s="5" t="s">
        <v>24</v>
      </c>
      <c r="D64" s="5" t="s">
        <v>18</v>
      </c>
      <c r="E64" s="15">
        <v>50343.19</v>
      </c>
      <c r="F64" s="5">
        <v>3845</v>
      </c>
      <c r="G64" s="5">
        <v>0.113</v>
      </c>
      <c r="H64" s="5">
        <v>9</v>
      </c>
      <c r="I64" s="5">
        <v>88.7</v>
      </c>
      <c r="J64" s="5">
        <v>5.15</v>
      </c>
      <c r="K64" s="5">
        <v>0</v>
      </c>
      <c r="L64" s="5">
        <v>3.3</v>
      </c>
      <c r="M64" s="15">
        <v>572011.19999999995</v>
      </c>
      <c r="N64" s="5">
        <v>101409.68</v>
      </c>
    </row>
    <row r="65" spans="1:14">
      <c r="A65" s="5" t="s">
        <v>37</v>
      </c>
      <c r="B65" s="6">
        <v>45748</v>
      </c>
      <c r="C65" s="5" t="s">
        <v>24</v>
      </c>
      <c r="D65" s="5" t="s">
        <v>18</v>
      </c>
      <c r="E65" s="15">
        <v>74954.47</v>
      </c>
      <c r="F65" s="5">
        <v>6620</v>
      </c>
      <c r="G65" s="5">
        <v>5.3999999999999999E-2</v>
      </c>
      <c r="H65" s="5">
        <v>17</v>
      </c>
      <c r="I65" s="5">
        <v>91.1</v>
      </c>
      <c r="J65" s="5">
        <v>1.1100000000000001</v>
      </c>
      <c r="K65" s="5">
        <v>0</v>
      </c>
      <c r="L65" s="5">
        <v>3.5</v>
      </c>
      <c r="M65" s="15">
        <v>761860.19</v>
      </c>
      <c r="N65" s="5">
        <v>133279.38</v>
      </c>
    </row>
    <row r="66" spans="1:14">
      <c r="A66" s="5" t="s">
        <v>38</v>
      </c>
      <c r="B66" s="6">
        <v>45658</v>
      </c>
      <c r="C66" s="5" t="s">
        <v>27</v>
      </c>
      <c r="D66" s="5" t="s">
        <v>18</v>
      </c>
      <c r="E66" s="15">
        <v>70040.31</v>
      </c>
      <c r="F66" s="5">
        <v>9175</v>
      </c>
      <c r="G66" s="5">
        <v>0.107</v>
      </c>
      <c r="H66" s="5">
        <v>23</v>
      </c>
      <c r="I66" s="5">
        <v>95.1</v>
      </c>
      <c r="J66" s="5">
        <v>6.08</v>
      </c>
      <c r="K66" s="5">
        <v>1</v>
      </c>
      <c r="L66" s="5">
        <v>3.4</v>
      </c>
      <c r="M66" s="15">
        <v>784502.68</v>
      </c>
      <c r="N66" s="5">
        <v>129519.72</v>
      </c>
    </row>
    <row r="67" spans="1:14">
      <c r="A67" s="5" t="s">
        <v>38</v>
      </c>
      <c r="B67" s="6">
        <v>45689</v>
      </c>
      <c r="C67" s="5" t="s">
        <v>27</v>
      </c>
      <c r="D67" s="5" t="s">
        <v>18</v>
      </c>
      <c r="E67" s="15">
        <v>51148.69</v>
      </c>
      <c r="F67" s="5">
        <v>7940</v>
      </c>
      <c r="G67" s="5">
        <v>0.156</v>
      </c>
      <c r="H67" s="5">
        <v>18</v>
      </c>
      <c r="I67" s="5">
        <v>93.3</v>
      </c>
      <c r="J67" s="5">
        <v>10.91</v>
      </c>
      <c r="K67" s="5">
        <v>0</v>
      </c>
      <c r="L67" s="5">
        <v>3.6</v>
      </c>
      <c r="M67" s="15">
        <v>717141.55</v>
      </c>
      <c r="N67" s="5">
        <v>134013.60999999999</v>
      </c>
    </row>
    <row r="68" spans="1:14">
      <c r="A68" s="5" t="s">
        <v>38</v>
      </c>
      <c r="B68" s="6">
        <v>45717</v>
      </c>
      <c r="C68" s="5" t="s">
        <v>27</v>
      </c>
      <c r="D68" s="5" t="s">
        <v>18</v>
      </c>
      <c r="E68" s="15">
        <v>79346.100000000006</v>
      </c>
      <c r="F68" s="5">
        <v>9628</v>
      </c>
      <c r="G68" s="5">
        <v>0.10199999999999999</v>
      </c>
      <c r="H68" s="5">
        <v>20</v>
      </c>
      <c r="I68" s="5">
        <v>99</v>
      </c>
      <c r="J68" s="5">
        <v>19.010000000000002</v>
      </c>
      <c r="K68" s="5">
        <v>1</v>
      </c>
      <c r="L68" s="5">
        <v>3.2</v>
      </c>
      <c r="M68" s="15">
        <v>685379.08</v>
      </c>
      <c r="N68" s="5">
        <v>106898.82</v>
      </c>
    </row>
    <row r="69" spans="1:14">
      <c r="A69" s="5" t="s">
        <v>38</v>
      </c>
      <c r="B69" s="6">
        <v>45748</v>
      </c>
      <c r="C69" s="5" t="s">
        <v>27</v>
      </c>
      <c r="D69" s="5" t="s">
        <v>18</v>
      </c>
      <c r="E69" s="15">
        <v>42018.400000000001</v>
      </c>
      <c r="F69" s="5">
        <v>8296</v>
      </c>
      <c r="G69" s="5">
        <v>0.115</v>
      </c>
      <c r="H69" s="5">
        <v>17</v>
      </c>
      <c r="I69" s="5">
        <v>91.8</v>
      </c>
      <c r="J69" s="5">
        <v>0.77</v>
      </c>
      <c r="K69" s="5">
        <v>0</v>
      </c>
      <c r="L69" s="5">
        <v>3.4</v>
      </c>
      <c r="M69" s="15">
        <v>740496.65</v>
      </c>
      <c r="N69" s="5">
        <v>128020.9</v>
      </c>
    </row>
    <row r="70" spans="1:14">
      <c r="A70" s="5" t="s">
        <v>39</v>
      </c>
      <c r="B70" s="6">
        <v>45658</v>
      </c>
      <c r="C70" s="5" t="s">
        <v>15</v>
      </c>
      <c r="D70" s="5" t="s">
        <v>18</v>
      </c>
      <c r="E70" s="15">
        <v>70937.240000000005</v>
      </c>
      <c r="F70" s="5">
        <v>3595</v>
      </c>
      <c r="G70" s="5">
        <v>0.14099999999999999</v>
      </c>
      <c r="H70" s="5">
        <v>11</v>
      </c>
      <c r="I70" s="5">
        <v>88.9</v>
      </c>
      <c r="J70" s="5">
        <v>2.83</v>
      </c>
      <c r="K70" s="5">
        <v>1</v>
      </c>
      <c r="L70" s="5">
        <v>3.3</v>
      </c>
      <c r="M70" s="15">
        <v>661927.14</v>
      </c>
      <c r="N70" s="5">
        <v>79218.570000000007</v>
      </c>
    </row>
    <row r="71" spans="1:14">
      <c r="A71" s="5" t="s">
        <v>39</v>
      </c>
      <c r="B71" s="6">
        <v>45689</v>
      </c>
      <c r="C71" s="5" t="s">
        <v>15</v>
      </c>
      <c r="D71" s="5" t="s">
        <v>18</v>
      </c>
      <c r="E71" s="15">
        <v>36813.449999999997</v>
      </c>
      <c r="F71" s="5">
        <v>2834</v>
      </c>
      <c r="G71" s="5">
        <v>0.191</v>
      </c>
      <c r="H71" s="5">
        <v>11</v>
      </c>
      <c r="I71" s="5">
        <v>81.8</v>
      </c>
      <c r="J71" s="5">
        <v>2.33</v>
      </c>
      <c r="K71" s="5">
        <v>0</v>
      </c>
      <c r="L71" s="5">
        <v>3.3</v>
      </c>
      <c r="M71" s="15">
        <v>479050.5</v>
      </c>
      <c r="N71" s="5">
        <v>53651.11</v>
      </c>
    </row>
    <row r="72" spans="1:14">
      <c r="A72" s="5" t="s">
        <v>39</v>
      </c>
      <c r="B72" s="6">
        <v>45717</v>
      </c>
      <c r="C72" s="5" t="s">
        <v>15</v>
      </c>
      <c r="D72" s="5" t="s">
        <v>18</v>
      </c>
      <c r="E72" s="15">
        <v>60571.82</v>
      </c>
      <c r="F72" s="5">
        <v>3193</v>
      </c>
      <c r="G72" s="5">
        <v>0.19700000000000001</v>
      </c>
      <c r="H72" s="5">
        <v>7</v>
      </c>
      <c r="I72" s="5">
        <v>99</v>
      </c>
      <c r="J72" s="5">
        <v>1.43</v>
      </c>
      <c r="K72" s="5">
        <v>0</v>
      </c>
      <c r="L72" s="5">
        <v>3.2</v>
      </c>
      <c r="M72" s="15">
        <v>605023.87</v>
      </c>
      <c r="N72" s="5">
        <v>98545.81</v>
      </c>
    </row>
    <row r="73" spans="1:14">
      <c r="A73" s="5" t="s">
        <v>39</v>
      </c>
      <c r="B73" s="6">
        <v>45748</v>
      </c>
      <c r="C73" s="5" t="s">
        <v>15</v>
      </c>
      <c r="D73" s="5" t="s">
        <v>18</v>
      </c>
      <c r="E73" s="15">
        <v>55081.16</v>
      </c>
      <c r="F73" s="5">
        <v>5485</v>
      </c>
      <c r="G73" s="5">
        <v>3.5999999999999997E-2</v>
      </c>
      <c r="H73" s="5">
        <v>12</v>
      </c>
      <c r="I73" s="5">
        <v>88</v>
      </c>
      <c r="J73" s="5">
        <v>3.3650000000000002</v>
      </c>
      <c r="K73" s="5">
        <v>0</v>
      </c>
      <c r="L73" s="5">
        <v>3.5</v>
      </c>
      <c r="M73" s="15">
        <v>674774.09</v>
      </c>
      <c r="N73" s="5">
        <v>141917.59</v>
      </c>
    </row>
    <row r="74" spans="1:14">
      <c r="A74" s="5" t="s">
        <v>40</v>
      </c>
      <c r="B74" s="6">
        <v>45658</v>
      </c>
      <c r="C74" s="5" t="s">
        <v>15</v>
      </c>
      <c r="D74" s="5" t="s">
        <v>16</v>
      </c>
      <c r="E74" s="15">
        <v>46201.46</v>
      </c>
      <c r="F74" s="5">
        <v>5918</v>
      </c>
      <c r="G74" s="5">
        <v>0.27700000000000002</v>
      </c>
      <c r="H74" s="5">
        <v>13</v>
      </c>
      <c r="I74" s="5">
        <v>78.8</v>
      </c>
      <c r="J74" s="5">
        <v>4.91</v>
      </c>
      <c r="K74" s="5">
        <v>0</v>
      </c>
      <c r="L74" s="5">
        <v>4.5</v>
      </c>
      <c r="M74" s="15">
        <v>616069.41</v>
      </c>
      <c r="N74" s="5">
        <v>54453.99</v>
      </c>
    </row>
    <row r="75" spans="1:14">
      <c r="A75" s="5" t="s">
        <v>40</v>
      </c>
      <c r="B75" s="6">
        <v>45689</v>
      </c>
      <c r="C75" s="5" t="s">
        <v>15</v>
      </c>
      <c r="D75" s="5" t="s">
        <v>16</v>
      </c>
      <c r="E75" s="15">
        <v>53762.92</v>
      </c>
      <c r="F75" s="5">
        <v>6821</v>
      </c>
      <c r="G75" s="5">
        <v>6.6000000000000003E-2</v>
      </c>
      <c r="H75" s="5">
        <v>19</v>
      </c>
      <c r="I75" s="5">
        <v>94.6</v>
      </c>
      <c r="J75" s="5">
        <v>7.03</v>
      </c>
      <c r="K75" s="5">
        <v>0</v>
      </c>
      <c r="L75" s="5">
        <v>4.4000000000000004</v>
      </c>
      <c r="M75" s="15">
        <v>630829.93999999994</v>
      </c>
      <c r="N75" s="5">
        <v>117090.02</v>
      </c>
    </row>
    <row r="76" spans="1:14">
      <c r="A76" s="5" t="s">
        <v>40</v>
      </c>
      <c r="B76" s="6">
        <v>45717</v>
      </c>
      <c r="C76" s="5" t="s">
        <v>15</v>
      </c>
      <c r="D76" s="5" t="s">
        <v>16</v>
      </c>
      <c r="E76" s="15">
        <v>70144.78</v>
      </c>
      <c r="F76" s="5">
        <v>6806</v>
      </c>
      <c r="G76" s="5">
        <v>0.17799999999999999</v>
      </c>
      <c r="H76" s="5">
        <v>20</v>
      </c>
      <c r="I76" s="5">
        <v>93.1</v>
      </c>
      <c r="J76" s="5">
        <v>0.28000000000000003</v>
      </c>
      <c r="K76" s="5">
        <v>1</v>
      </c>
      <c r="L76" s="5">
        <v>4.3</v>
      </c>
      <c r="M76" s="15">
        <v>788087.68</v>
      </c>
      <c r="N76" s="5">
        <v>116803.42</v>
      </c>
    </row>
    <row r="77" spans="1:14">
      <c r="A77" s="5" t="s">
        <v>40</v>
      </c>
      <c r="B77" s="6">
        <v>45748</v>
      </c>
      <c r="C77" s="5" t="s">
        <v>15</v>
      </c>
      <c r="D77" s="5" t="s">
        <v>16</v>
      </c>
      <c r="E77" s="15">
        <v>58749.63</v>
      </c>
      <c r="F77" s="5">
        <v>8252</v>
      </c>
      <c r="G77" s="5">
        <v>0.20300000000000001</v>
      </c>
      <c r="H77" s="5">
        <v>20</v>
      </c>
      <c r="I77" s="5">
        <v>85.2</v>
      </c>
      <c r="J77" s="5">
        <v>3.61</v>
      </c>
      <c r="K77" s="5">
        <v>0</v>
      </c>
      <c r="L77" s="5">
        <v>4.5</v>
      </c>
      <c r="M77" s="15">
        <v>680840.36</v>
      </c>
      <c r="N77" s="5">
        <v>68007.679999999993</v>
      </c>
    </row>
    <row r="78" spans="1:14">
      <c r="A78" s="5" t="s">
        <v>41</v>
      </c>
      <c r="B78" s="6">
        <v>45658</v>
      </c>
      <c r="C78" s="5" t="s">
        <v>24</v>
      </c>
      <c r="D78" s="5" t="s">
        <v>18</v>
      </c>
      <c r="E78" s="15">
        <v>56973.18</v>
      </c>
      <c r="F78" s="5">
        <v>6662</v>
      </c>
      <c r="G78" s="5">
        <v>0.1</v>
      </c>
      <c r="H78" s="5">
        <v>15</v>
      </c>
      <c r="I78" s="5">
        <v>77.7</v>
      </c>
      <c r="J78" s="5">
        <v>7.52</v>
      </c>
      <c r="K78" s="5">
        <v>1</v>
      </c>
      <c r="L78" s="5">
        <v>3.2</v>
      </c>
      <c r="M78" s="15">
        <v>643657.47</v>
      </c>
      <c r="N78" s="5">
        <v>87022.45</v>
      </c>
    </row>
    <row r="79" spans="1:14">
      <c r="A79" s="5" t="s">
        <v>41</v>
      </c>
      <c r="B79" s="6">
        <v>45689</v>
      </c>
      <c r="C79" s="5" t="s">
        <v>24</v>
      </c>
      <c r="D79" s="5" t="s">
        <v>18</v>
      </c>
      <c r="E79" s="15">
        <v>54872.82</v>
      </c>
      <c r="F79" s="5">
        <v>5962</v>
      </c>
      <c r="G79" s="5">
        <v>6.4000000000000001E-2</v>
      </c>
      <c r="H79" s="5">
        <v>12</v>
      </c>
      <c r="I79" s="5">
        <v>85.4</v>
      </c>
      <c r="J79" s="5">
        <v>2.58</v>
      </c>
      <c r="K79" s="5">
        <v>0</v>
      </c>
      <c r="L79" s="5">
        <v>2.9</v>
      </c>
      <c r="M79" s="15">
        <v>691112.6</v>
      </c>
      <c r="N79" s="5">
        <v>109212.83</v>
      </c>
    </row>
    <row r="80" spans="1:14">
      <c r="A80" s="5" t="s">
        <v>41</v>
      </c>
      <c r="B80" s="6">
        <v>45717</v>
      </c>
      <c r="C80" s="5" t="s">
        <v>24</v>
      </c>
      <c r="D80" s="5" t="s">
        <v>18</v>
      </c>
      <c r="E80" s="15">
        <v>80562.81</v>
      </c>
      <c r="F80" s="5">
        <v>7470</v>
      </c>
      <c r="G80" s="5">
        <v>0.17199999999999999</v>
      </c>
      <c r="H80" s="5">
        <v>16</v>
      </c>
      <c r="I80" s="5">
        <v>83.5</v>
      </c>
      <c r="J80" s="5">
        <v>2.29</v>
      </c>
      <c r="K80" s="5">
        <v>0</v>
      </c>
      <c r="L80" s="5">
        <v>3.3</v>
      </c>
      <c r="M80" s="15">
        <v>776922.17</v>
      </c>
      <c r="N80" s="5">
        <v>150701.93</v>
      </c>
    </row>
    <row r="81" spans="1:14">
      <c r="A81" s="5" t="s">
        <v>41</v>
      </c>
      <c r="B81" s="6">
        <v>45748</v>
      </c>
      <c r="C81" s="5" t="s">
        <v>24</v>
      </c>
      <c r="D81" s="5" t="s">
        <v>18</v>
      </c>
      <c r="E81" s="15">
        <v>77999.899999999994</v>
      </c>
      <c r="F81" s="5">
        <v>5974</v>
      </c>
      <c r="G81" s="5">
        <v>0.252</v>
      </c>
      <c r="H81" s="5">
        <v>14</v>
      </c>
      <c r="I81" s="5">
        <v>81.3</v>
      </c>
      <c r="J81" s="5">
        <v>2.39</v>
      </c>
      <c r="K81" s="5">
        <v>0</v>
      </c>
      <c r="L81" s="5">
        <v>3.2</v>
      </c>
      <c r="M81" s="15">
        <v>636561.34</v>
      </c>
      <c r="N81" s="5">
        <v>93861.06</v>
      </c>
    </row>
    <row r="82" spans="1:14">
      <c r="A82" s="5" t="s">
        <v>42</v>
      </c>
      <c r="B82" s="6">
        <v>45658</v>
      </c>
      <c r="C82" s="5" t="s">
        <v>27</v>
      </c>
      <c r="D82" s="5" t="s">
        <v>28</v>
      </c>
      <c r="E82" s="15">
        <v>60881.01</v>
      </c>
      <c r="F82" s="5">
        <v>5410</v>
      </c>
      <c r="G82" s="5">
        <v>0.17899999999999999</v>
      </c>
      <c r="H82" s="5">
        <v>15</v>
      </c>
      <c r="I82" s="5">
        <v>83.9</v>
      </c>
      <c r="J82" s="5">
        <v>5.24</v>
      </c>
      <c r="K82" s="5">
        <v>0</v>
      </c>
      <c r="L82" s="5">
        <v>4.5999999999999996</v>
      </c>
      <c r="M82" s="15">
        <v>621369.57999999996</v>
      </c>
      <c r="N82" s="5">
        <v>85493.64</v>
      </c>
    </row>
    <row r="83" spans="1:14">
      <c r="A83" s="5" t="s">
        <v>42</v>
      </c>
      <c r="B83" s="6">
        <v>45689</v>
      </c>
      <c r="C83" s="5" t="s">
        <v>27</v>
      </c>
      <c r="D83" s="5" t="s">
        <v>28</v>
      </c>
      <c r="E83" s="15">
        <v>60628.38</v>
      </c>
      <c r="F83" s="5">
        <v>4451</v>
      </c>
      <c r="G83" s="5">
        <v>9.5000000000000001E-2</v>
      </c>
      <c r="H83" s="5">
        <v>10</v>
      </c>
      <c r="I83" s="5">
        <v>89.6</v>
      </c>
      <c r="J83" s="5">
        <v>3.17</v>
      </c>
      <c r="K83" s="5">
        <v>0</v>
      </c>
      <c r="L83" s="5">
        <v>4.5999999999999996</v>
      </c>
      <c r="M83" s="15">
        <v>682208.01</v>
      </c>
      <c r="N83" s="5">
        <v>110318.84</v>
      </c>
    </row>
    <row r="84" spans="1:14">
      <c r="A84" s="5" t="s">
        <v>42</v>
      </c>
      <c r="B84" s="6">
        <v>45717</v>
      </c>
      <c r="C84" s="5" t="s">
        <v>27</v>
      </c>
      <c r="D84" s="5" t="s">
        <v>28</v>
      </c>
      <c r="E84" s="15">
        <v>72731.14</v>
      </c>
      <c r="F84" s="5">
        <v>4644</v>
      </c>
      <c r="G84" s="5">
        <v>8.4000000000000005E-2</v>
      </c>
      <c r="H84" s="5">
        <v>15</v>
      </c>
      <c r="I84" s="5">
        <v>87.1</v>
      </c>
      <c r="J84" s="5">
        <v>2.66</v>
      </c>
      <c r="K84" s="5">
        <v>0</v>
      </c>
      <c r="L84" s="5">
        <v>4.5999999999999996</v>
      </c>
      <c r="M84" s="15">
        <v>727241.86</v>
      </c>
      <c r="N84" s="5">
        <v>155810.29999999999</v>
      </c>
    </row>
    <row r="85" spans="1:14">
      <c r="A85" s="5" t="s">
        <v>42</v>
      </c>
      <c r="B85" s="6">
        <v>45748</v>
      </c>
      <c r="C85" s="5" t="s">
        <v>27</v>
      </c>
      <c r="D85" s="5" t="s">
        <v>28</v>
      </c>
      <c r="E85" s="15">
        <v>36475.71</v>
      </c>
      <c r="F85" s="5">
        <v>3559</v>
      </c>
      <c r="G85" s="5">
        <v>0.03</v>
      </c>
      <c r="H85" s="5">
        <v>8</v>
      </c>
      <c r="I85" s="5">
        <v>83.6</v>
      </c>
      <c r="J85" s="5">
        <v>1.41</v>
      </c>
      <c r="K85" s="5">
        <v>0</v>
      </c>
      <c r="L85" s="5">
        <v>4.2</v>
      </c>
      <c r="M85" s="15">
        <v>569100.78</v>
      </c>
      <c r="N85" s="5">
        <v>104808.78</v>
      </c>
    </row>
    <row r="86" spans="1:14">
      <c r="A86" s="5" t="s">
        <v>43</v>
      </c>
      <c r="B86" s="6">
        <v>45658</v>
      </c>
      <c r="C86" s="5" t="s">
        <v>27</v>
      </c>
      <c r="D86" s="5" t="s">
        <v>18</v>
      </c>
      <c r="E86" s="15">
        <v>55388.11</v>
      </c>
      <c r="F86" s="5">
        <v>3091</v>
      </c>
      <c r="G86" s="5">
        <v>0.108</v>
      </c>
      <c r="H86" s="5">
        <v>7</v>
      </c>
      <c r="I86" s="5">
        <v>85.4</v>
      </c>
      <c r="J86" s="5">
        <v>7.34</v>
      </c>
      <c r="K86" s="5">
        <v>0</v>
      </c>
      <c r="L86" s="5">
        <v>4.9000000000000004</v>
      </c>
      <c r="M86" s="15">
        <v>574436.29</v>
      </c>
      <c r="N86" s="5">
        <v>80271.990000000005</v>
      </c>
    </row>
    <row r="87" spans="1:14">
      <c r="A87" s="5" t="s">
        <v>43</v>
      </c>
      <c r="B87" s="6">
        <v>45689</v>
      </c>
      <c r="C87" s="5" t="s">
        <v>27</v>
      </c>
      <c r="D87" s="5" t="s">
        <v>18</v>
      </c>
      <c r="E87" s="15">
        <v>88443.77</v>
      </c>
      <c r="F87" s="5">
        <v>4004</v>
      </c>
      <c r="G87" s="5">
        <v>0.20599999999999999</v>
      </c>
      <c r="H87" s="5">
        <v>11</v>
      </c>
      <c r="I87" s="5">
        <v>91.9</v>
      </c>
      <c r="J87" s="5">
        <v>5.95</v>
      </c>
      <c r="K87" s="5">
        <v>0</v>
      </c>
      <c r="L87" s="5">
        <v>3.8</v>
      </c>
      <c r="M87" s="15">
        <v>611766.72</v>
      </c>
      <c r="N87" s="5">
        <v>88275.61</v>
      </c>
    </row>
    <row r="88" spans="1:14">
      <c r="A88" s="5" t="s">
        <v>43</v>
      </c>
      <c r="B88" s="6">
        <v>45717</v>
      </c>
      <c r="C88" s="5" t="s">
        <v>27</v>
      </c>
      <c r="D88" s="5" t="s">
        <v>18</v>
      </c>
      <c r="E88" s="15">
        <v>78231.91</v>
      </c>
      <c r="F88" s="5">
        <v>3788</v>
      </c>
      <c r="G88" s="5">
        <v>5.8999999999999997E-2</v>
      </c>
      <c r="H88" s="5">
        <v>11</v>
      </c>
      <c r="I88" s="5">
        <v>88.5</v>
      </c>
      <c r="J88" s="5">
        <v>15.51</v>
      </c>
      <c r="K88" s="5">
        <v>0</v>
      </c>
      <c r="L88" s="5">
        <v>4.3</v>
      </c>
      <c r="M88" s="15">
        <v>614596.31999999995</v>
      </c>
      <c r="N88" s="5">
        <v>131199.41</v>
      </c>
    </row>
    <row r="89" spans="1:14">
      <c r="A89" s="5" t="s">
        <v>43</v>
      </c>
      <c r="B89" s="6">
        <v>45748</v>
      </c>
      <c r="C89" s="5" t="s">
        <v>27</v>
      </c>
      <c r="D89" s="5" t="s">
        <v>18</v>
      </c>
      <c r="E89" s="15">
        <v>18996.32</v>
      </c>
      <c r="F89" s="5">
        <v>1260</v>
      </c>
      <c r="G89" s="5">
        <v>0.14499999999999999</v>
      </c>
      <c r="H89" s="5">
        <v>9</v>
      </c>
      <c r="I89" s="5">
        <v>86.4</v>
      </c>
      <c r="J89" s="5">
        <v>4.3099999999999996</v>
      </c>
      <c r="K89" s="5">
        <v>0</v>
      </c>
      <c r="L89" s="5">
        <v>4.5999999999999996</v>
      </c>
      <c r="M89" s="15">
        <v>450711.92</v>
      </c>
      <c r="N89" s="5">
        <v>90043.76</v>
      </c>
    </row>
    <row r="90" spans="1:14">
      <c r="A90" s="5" t="s">
        <v>44</v>
      </c>
      <c r="B90" s="6">
        <v>45658</v>
      </c>
      <c r="C90" s="5" t="s">
        <v>24</v>
      </c>
      <c r="D90" s="5" t="s">
        <v>28</v>
      </c>
      <c r="E90" s="15">
        <v>50517.94</v>
      </c>
      <c r="F90" s="5">
        <v>7024</v>
      </c>
      <c r="G90" s="5">
        <v>2.9000000000000001E-2</v>
      </c>
      <c r="H90" s="5">
        <v>18</v>
      </c>
      <c r="I90" s="5">
        <v>79.2</v>
      </c>
      <c r="J90" s="5">
        <v>6.61</v>
      </c>
      <c r="K90" s="5">
        <v>1</v>
      </c>
      <c r="L90" s="5">
        <v>4.0999999999999996</v>
      </c>
      <c r="M90" s="15">
        <v>711213.46</v>
      </c>
      <c r="N90" s="5">
        <v>105863.26</v>
      </c>
    </row>
    <row r="91" spans="1:14">
      <c r="A91" s="5" t="s">
        <v>44</v>
      </c>
      <c r="B91" s="6">
        <v>45689</v>
      </c>
      <c r="C91" s="5" t="s">
        <v>24</v>
      </c>
      <c r="D91" s="5" t="s">
        <v>28</v>
      </c>
      <c r="E91" s="15">
        <v>141540.29</v>
      </c>
      <c r="F91" s="5">
        <v>5400</v>
      </c>
      <c r="G91" s="5">
        <v>1.2999999999999999E-2</v>
      </c>
      <c r="H91" s="5">
        <v>12</v>
      </c>
      <c r="I91" s="5">
        <v>87</v>
      </c>
      <c r="J91" s="5">
        <v>4.26</v>
      </c>
      <c r="K91" s="5">
        <v>0</v>
      </c>
      <c r="L91" s="5">
        <v>4.5</v>
      </c>
      <c r="M91" s="15">
        <v>627171.9</v>
      </c>
      <c r="N91" s="5">
        <v>105772.75</v>
      </c>
    </row>
    <row r="92" spans="1:14">
      <c r="A92" s="5" t="s">
        <v>44</v>
      </c>
      <c r="B92" s="6">
        <v>45717</v>
      </c>
      <c r="C92" s="5" t="s">
        <v>24</v>
      </c>
      <c r="D92" s="5" t="s">
        <v>28</v>
      </c>
      <c r="E92" s="15">
        <v>82116.19</v>
      </c>
      <c r="F92" s="5">
        <v>5988</v>
      </c>
      <c r="G92" s="5">
        <v>0.04</v>
      </c>
      <c r="H92" s="5">
        <v>17</v>
      </c>
      <c r="I92" s="5">
        <v>91.8</v>
      </c>
      <c r="J92" s="5">
        <v>5.75</v>
      </c>
      <c r="K92" s="5">
        <v>0</v>
      </c>
      <c r="L92" s="5">
        <v>4.7</v>
      </c>
      <c r="M92" s="15">
        <v>739852.58</v>
      </c>
      <c r="N92" s="5">
        <v>129386.43</v>
      </c>
    </row>
    <row r="93" spans="1:14">
      <c r="A93" s="5" t="s">
        <v>44</v>
      </c>
      <c r="B93" s="6">
        <v>45748</v>
      </c>
      <c r="C93" s="5" t="s">
        <v>24</v>
      </c>
      <c r="D93" s="5" t="s">
        <v>28</v>
      </c>
      <c r="E93" s="15">
        <v>31207.51</v>
      </c>
      <c r="F93" s="5">
        <v>3701</v>
      </c>
      <c r="G93" s="5">
        <v>4.2999999999999997E-2</v>
      </c>
      <c r="H93" s="5">
        <v>11</v>
      </c>
      <c r="I93" s="5">
        <v>84.7</v>
      </c>
      <c r="J93" s="5">
        <v>0.33</v>
      </c>
      <c r="K93" s="5">
        <v>0</v>
      </c>
      <c r="L93" s="5">
        <v>4.3</v>
      </c>
      <c r="M93" s="15">
        <v>586307.22</v>
      </c>
      <c r="N93" s="5">
        <v>73927.850000000006</v>
      </c>
    </row>
    <row r="94" spans="1:14">
      <c r="A94" s="5" t="s">
        <v>45</v>
      </c>
      <c r="B94" s="6">
        <v>45658</v>
      </c>
      <c r="C94" s="5" t="s">
        <v>27</v>
      </c>
      <c r="D94" s="5" t="s">
        <v>16</v>
      </c>
      <c r="E94" s="15">
        <v>38966.589999999997</v>
      </c>
      <c r="F94" s="5">
        <v>4509</v>
      </c>
      <c r="G94" s="5">
        <v>0.19400000000000001</v>
      </c>
      <c r="H94" s="5">
        <v>14</v>
      </c>
      <c r="I94" s="5">
        <v>91.1</v>
      </c>
      <c r="J94" s="5">
        <v>2.92</v>
      </c>
      <c r="K94" s="5">
        <v>0</v>
      </c>
      <c r="L94" s="5">
        <v>4.5999999999999996</v>
      </c>
      <c r="M94" s="15">
        <v>585937.48</v>
      </c>
      <c r="N94" s="5">
        <v>82624.2</v>
      </c>
    </row>
    <row r="95" spans="1:14">
      <c r="A95" s="5" t="s">
        <v>45</v>
      </c>
      <c r="B95" s="6">
        <v>45689</v>
      </c>
      <c r="C95" s="5" t="s">
        <v>27</v>
      </c>
      <c r="D95" s="5" t="s">
        <v>16</v>
      </c>
      <c r="E95" s="15">
        <v>67439.3</v>
      </c>
      <c r="F95" s="5">
        <v>6477</v>
      </c>
      <c r="G95" s="5">
        <v>0</v>
      </c>
      <c r="H95" s="5">
        <v>16</v>
      </c>
      <c r="I95" s="5">
        <v>90.9</v>
      </c>
      <c r="J95" s="5">
        <v>1.64</v>
      </c>
      <c r="K95" s="5">
        <v>0</v>
      </c>
      <c r="L95" s="5">
        <v>4.5</v>
      </c>
      <c r="M95" s="15">
        <v>753473.55</v>
      </c>
      <c r="N95" s="5">
        <v>151527.22</v>
      </c>
    </row>
    <row r="96" spans="1:14">
      <c r="A96" s="5" t="s">
        <v>45</v>
      </c>
      <c r="B96" s="6">
        <v>45717</v>
      </c>
      <c r="C96" s="5" t="s">
        <v>27</v>
      </c>
      <c r="D96" s="5" t="s">
        <v>16</v>
      </c>
      <c r="E96" s="15">
        <v>86421.88</v>
      </c>
      <c r="F96" s="5">
        <v>7970</v>
      </c>
      <c r="G96" s="5">
        <v>7.2999999999999995E-2</v>
      </c>
      <c r="H96" s="5">
        <v>17</v>
      </c>
      <c r="I96" s="5">
        <v>91.3</v>
      </c>
      <c r="J96" s="5">
        <v>0.8</v>
      </c>
      <c r="K96" s="5">
        <v>0</v>
      </c>
      <c r="L96" s="5">
        <v>5</v>
      </c>
      <c r="M96" s="15">
        <v>838250.32</v>
      </c>
      <c r="N96" s="5">
        <v>122939.34</v>
      </c>
    </row>
    <row r="97" spans="1:14">
      <c r="A97" s="5" t="s">
        <v>45</v>
      </c>
      <c r="B97" s="6">
        <v>45748</v>
      </c>
      <c r="C97" s="5" t="s">
        <v>27</v>
      </c>
      <c r="D97" s="5" t="s">
        <v>16</v>
      </c>
      <c r="E97" s="15">
        <v>9534.65</v>
      </c>
      <c r="F97" s="5">
        <v>6057</v>
      </c>
      <c r="G97" s="5">
        <v>7.3999999999999996E-2</v>
      </c>
      <c r="H97" s="5">
        <v>15</v>
      </c>
      <c r="I97" s="5">
        <v>94.1</v>
      </c>
      <c r="J97" s="5">
        <v>5.79</v>
      </c>
      <c r="K97" s="5">
        <v>0</v>
      </c>
      <c r="L97" s="5">
        <v>4.5</v>
      </c>
      <c r="M97" s="15">
        <v>607898.12</v>
      </c>
      <c r="N97" s="5">
        <v>135404.85</v>
      </c>
    </row>
    <row r="98" spans="1:14">
      <c r="A98" s="5" t="s">
        <v>46</v>
      </c>
      <c r="B98" s="6">
        <v>45658</v>
      </c>
      <c r="C98" s="5" t="s">
        <v>27</v>
      </c>
      <c r="D98" s="5" t="s">
        <v>28</v>
      </c>
      <c r="E98" s="15">
        <v>61132.07</v>
      </c>
      <c r="F98" s="5">
        <v>6394</v>
      </c>
      <c r="G98" s="5">
        <v>0.16300000000000001</v>
      </c>
      <c r="H98" s="5">
        <v>19</v>
      </c>
      <c r="I98" s="5">
        <v>91</v>
      </c>
      <c r="J98" s="5">
        <v>19.600000000000001</v>
      </c>
      <c r="K98" s="5">
        <v>0</v>
      </c>
      <c r="L98" s="5">
        <v>4.4000000000000004</v>
      </c>
      <c r="M98" s="15">
        <v>691113.62</v>
      </c>
      <c r="N98" s="5">
        <v>135145.44</v>
      </c>
    </row>
    <row r="99" spans="1:14">
      <c r="A99" s="5" t="s">
        <v>46</v>
      </c>
      <c r="B99" s="6">
        <v>45689</v>
      </c>
      <c r="C99" s="5" t="s">
        <v>27</v>
      </c>
      <c r="D99" s="5" t="s">
        <v>28</v>
      </c>
      <c r="E99" s="15">
        <v>78839.39</v>
      </c>
      <c r="F99" s="5">
        <v>5150</v>
      </c>
      <c r="G99" s="5">
        <v>0.17100000000000001</v>
      </c>
      <c r="H99" s="5">
        <v>13</v>
      </c>
      <c r="I99" s="5">
        <v>85.8</v>
      </c>
      <c r="J99" s="5">
        <v>7.57</v>
      </c>
      <c r="K99" s="5">
        <v>0</v>
      </c>
      <c r="L99" s="5">
        <v>4.3</v>
      </c>
      <c r="M99" s="15">
        <v>735509.4</v>
      </c>
      <c r="N99" s="5">
        <v>83895.96</v>
      </c>
    </row>
    <row r="100" spans="1:14">
      <c r="A100" s="5" t="s">
        <v>46</v>
      </c>
      <c r="B100" s="6">
        <v>45717</v>
      </c>
      <c r="C100" s="5" t="s">
        <v>27</v>
      </c>
      <c r="D100" s="5" t="s">
        <v>28</v>
      </c>
      <c r="E100" s="15">
        <v>38752.800000000003</v>
      </c>
      <c r="F100" s="5">
        <v>4712</v>
      </c>
      <c r="G100" s="5">
        <v>7.4999999999999997E-2</v>
      </c>
      <c r="H100" s="5">
        <v>15</v>
      </c>
      <c r="I100" s="5">
        <v>89.7</v>
      </c>
      <c r="J100" s="5">
        <v>3.3650000000000002</v>
      </c>
      <c r="K100" s="5">
        <v>0</v>
      </c>
      <c r="L100" s="5">
        <v>4.3</v>
      </c>
      <c r="M100" s="15">
        <v>605775.32999999996</v>
      </c>
      <c r="N100" s="5">
        <v>107194.6</v>
      </c>
    </row>
    <row r="101" spans="1:14">
      <c r="A101" s="5" t="s">
        <v>46</v>
      </c>
      <c r="B101" s="6">
        <v>45748</v>
      </c>
      <c r="C101" s="5" t="s">
        <v>27</v>
      </c>
      <c r="D101" s="5" t="s">
        <v>28</v>
      </c>
      <c r="E101" s="15">
        <v>55101.1</v>
      </c>
      <c r="F101" s="5">
        <v>5281</v>
      </c>
      <c r="G101" s="5">
        <v>0.189</v>
      </c>
      <c r="H101" s="5">
        <v>11</v>
      </c>
      <c r="I101" s="5">
        <v>91</v>
      </c>
      <c r="J101" s="5">
        <v>2.7</v>
      </c>
      <c r="K101" s="5">
        <v>0</v>
      </c>
      <c r="L101" s="5">
        <v>4.4000000000000004</v>
      </c>
      <c r="M101" s="15">
        <v>675177.68</v>
      </c>
      <c r="N101" s="5">
        <v>105628.68</v>
      </c>
    </row>
    <row r="102" spans="1:14">
      <c r="A102" s="5" t="s">
        <v>47</v>
      </c>
      <c r="B102" s="6">
        <v>45658</v>
      </c>
      <c r="C102" s="5" t="s">
        <v>15</v>
      </c>
      <c r="D102" s="5" t="s">
        <v>28</v>
      </c>
      <c r="E102" s="15">
        <v>53084.76</v>
      </c>
      <c r="F102" s="5">
        <v>3642</v>
      </c>
      <c r="G102" s="5">
        <v>0.15</v>
      </c>
      <c r="H102" s="5">
        <v>12</v>
      </c>
      <c r="I102" s="5">
        <v>91.4</v>
      </c>
      <c r="J102" s="5">
        <v>0.2</v>
      </c>
      <c r="K102" s="5">
        <v>0</v>
      </c>
      <c r="L102" s="5">
        <v>4.4000000000000004</v>
      </c>
      <c r="M102" s="15">
        <v>635181.35</v>
      </c>
      <c r="N102" s="5">
        <v>83341.25</v>
      </c>
    </row>
    <row r="103" spans="1:14">
      <c r="A103" s="5" t="s">
        <v>47</v>
      </c>
      <c r="B103" s="6">
        <v>45689</v>
      </c>
      <c r="C103" s="5" t="s">
        <v>15</v>
      </c>
      <c r="D103" s="5" t="s">
        <v>28</v>
      </c>
      <c r="E103" s="15">
        <v>63101.59</v>
      </c>
      <c r="F103" s="5">
        <v>4373</v>
      </c>
      <c r="G103" s="5">
        <v>0.17299999999999999</v>
      </c>
      <c r="H103" s="5">
        <v>14</v>
      </c>
      <c r="I103" s="5">
        <v>90.4</v>
      </c>
      <c r="J103" s="5">
        <v>7.87</v>
      </c>
      <c r="K103" s="5">
        <v>0</v>
      </c>
      <c r="L103" s="5">
        <v>4.7</v>
      </c>
      <c r="M103" s="15">
        <v>586626.93999999994</v>
      </c>
      <c r="N103" s="5">
        <v>86498.55</v>
      </c>
    </row>
    <row r="104" spans="1:14">
      <c r="A104" s="5" t="s">
        <v>47</v>
      </c>
      <c r="B104" s="6">
        <v>45717</v>
      </c>
      <c r="C104" s="5" t="s">
        <v>15</v>
      </c>
      <c r="D104" s="5" t="s">
        <v>28</v>
      </c>
      <c r="E104" s="15">
        <v>90084.4</v>
      </c>
      <c r="F104" s="5">
        <v>6832</v>
      </c>
      <c r="G104" s="5">
        <v>0.185</v>
      </c>
      <c r="H104" s="5">
        <v>14</v>
      </c>
      <c r="I104" s="5">
        <v>80.5</v>
      </c>
      <c r="J104" s="5">
        <v>0.77</v>
      </c>
      <c r="K104" s="5">
        <v>1</v>
      </c>
      <c r="L104" s="5">
        <v>4.4000000000000004</v>
      </c>
      <c r="M104" s="15">
        <v>740102.64</v>
      </c>
      <c r="N104" s="5">
        <v>114299.07</v>
      </c>
    </row>
    <row r="105" spans="1:14">
      <c r="A105" s="5" t="s">
        <v>47</v>
      </c>
      <c r="B105" s="6">
        <v>45748</v>
      </c>
      <c r="C105" s="5" t="s">
        <v>15</v>
      </c>
      <c r="D105" s="5" t="s">
        <v>28</v>
      </c>
      <c r="E105" s="15">
        <v>32266.639999999999</v>
      </c>
      <c r="F105" s="5">
        <v>2414</v>
      </c>
      <c r="G105" s="5">
        <v>0.08</v>
      </c>
      <c r="H105" s="5">
        <v>7</v>
      </c>
      <c r="I105" s="5">
        <v>92.1</v>
      </c>
      <c r="J105" s="5">
        <v>1.48</v>
      </c>
      <c r="K105" s="5">
        <v>0</v>
      </c>
      <c r="L105" s="5">
        <v>5</v>
      </c>
      <c r="M105" s="15">
        <v>625514.04</v>
      </c>
      <c r="N105" s="5">
        <v>120685.08</v>
      </c>
    </row>
    <row r="106" spans="1:14">
      <c r="A106" s="5" t="s">
        <v>48</v>
      </c>
      <c r="B106" s="6">
        <v>45658</v>
      </c>
      <c r="C106" s="5" t="s">
        <v>27</v>
      </c>
      <c r="D106" s="5" t="s">
        <v>18</v>
      </c>
      <c r="E106" s="15">
        <v>57919.07</v>
      </c>
      <c r="F106" s="5">
        <v>7374</v>
      </c>
      <c r="G106" s="5">
        <v>0.10299999999999999</v>
      </c>
      <c r="H106" s="5">
        <v>21</v>
      </c>
      <c r="I106" s="5">
        <v>82.3</v>
      </c>
      <c r="J106" s="5">
        <v>2.87</v>
      </c>
      <c r="K106" s="5">
        <v>0</v>
      </c>
      <c r="L106" s="5">
        <v>2.9</v>
      </c>
      <c r="M106" s="15">
        <v>727227.2</v>
      </c>
      <c r="N106" s="5">
        <v>121292.01</v>
      </c>
    </row>
    <row r="107" spans="1:14">
      <c r="A107" s="5" t="s">
        <v>48</v>
      </c>
      <c r="B107" s="6">
        <v>45689</v>
      </c>
      <c r="C107" s="5" t="s">
        <v>27</v>
      </c>
      <c r="D107" s="5" t="s">
        <v>18</v>
      </c>
      <c r="E107" s="15">
        <v>74679.350000000006</v>
      </c>
      <c r="F107" s="5">
        <v>8739</v>
      </c>
      <c r="G107" s="5">
        <v>5.6000000000000001E-2</v>
      </c>
      <c r="H107" s="5">
        <v>21</v>
      </c>
      <c r="I107" s="5">
        <v>91.8</v>
      </c>
      <c r="J107" s="5">
        <v>2.83</v>
      </c>
      <c r="K107" s="5">
        <v>0</v>
      </c>
      <c r="L107" s="5">
        <v>3</v>
      </c>
      <c r="M107" s="15">
        <v>783797.89</v>
      </c>
      <c r="N107" s="5">
        <v>157620.70000000001</v>
      </c>
    </row>
    <row r="108" spans="1:14">
      <c r="A108" s="5" t="s">
        <v>48</v>
      </c>
      <c r="B108" s="6">
        <v>45717</v>
      </c>
      <c r="C108" s="5" t="s">
        <v>27</v>
      </c>
      <c r="D108" s="5" t="s">
        <v>18</v>
      </c>
      <c r="E108" s="15">
        <v>64294.23</v>
      </c>
      <c r="F108" s="5">
        <v>6992</v>
      </c>
      <c r="G108" s="5">
        <v>0.13300000000000001</v>
      </c>
      <c r="H108" s="5">
        <v>14</v>
      </c>
      <c r="I108" s="5">
        <v>94.1</v>
      </c>
      <c r="J108" s="5">
        <v>0.25</v>
      </c>
      <c r="K108" s="5">
        <v>0</v>
      </c>
      <c r="L108" s="5">
        <v>3</v>
      </c>
      <c r="M108" s="15">
        <v>795153.84</v>
      </c>
      <c r="N108" s="5">
        <v>143194.21</v>
      </c>
    </row>
    <row r="109" spans="1:14">
      <c r="A109" s="5" t="s">
        <v>48</v>
      </c>
      <c r="B109" s="6">
        <v>45748</v>
      </c>
      <c r="C109" s="5" t="s">
        <v>27</v>
      </c>
      <c r="D109" s="5" t="s">
        <v>18</v>
      </c>
      <c r="E109" s="15">
        <v>31042.03</v>
      </c>
      <c r="F109" s="5">
        <v>7107</v>
      </c>
      <c r="G109" s="5">
        <v>5.0999999999999997E-2</v>
      </c>
      <c r="H109" s="5">
        <v>15</v>
      </c>
      <c r="I109" s="5">
        <v>87</v>
      </c>
      <c r="J109" s="5">
        <v>13.33</v>
      </c>
      <c r="K109" s="5">
        <v>0</v>
      </c>
      <c r="L109" s="5">
        <v>3.2</v>
      </c>
      <c r="M109" s="15">
        <v>665594.93999999994</v>
      </c>
      <c r="N109" s="5">
        <v>127597.34</v>
      </c>
    </row>
    <row r="110" spans="1:14">
      <c r="A110" s="5" t="s">
        <v>49</v>
      </c>
      <c r="B110" s="6">
        <v>45658</v>
      </c>
      <c r="C110" s="5" t="s">
        <v>15</v>
      </c>
      <c r="D110" s="5" t="s">
        <v>28</v>
      </c>
      <c r="E110" s="15">
        <v>75265.02</v>
      </c>
      <c r="F110" s="5">
        <v>6975</v>
      </c>
      <c r="G110" s="5">
        <v>0.157</v>
      </c>
      <c r="H110" s="5">
        <v>20</v>
      </c>
      <c r="I110" s="5">
        <v>73.8</v>
      </c>
      <c r="J110" s="5">
        <v>6.35</v>
      </c>
      <c r="K110" s="5">
        <v>1</v>
      </c>
      <c r="L110" s="5">
        <v>3.8</v>
      </c>
      <c r="M110" s="15">
        <v>709478.39</v>
      </c>
      <c r="N110" s="5">
        <v>71294.27</v>
      </c>
    </row>
    <row r="111" spans="1:14">
      <c r="A111" s="5" t="s">
        <v>49</v>
      </c>
      <c r="B111" s="6">
        <v>45689</v>
      </c>
      <c r="C111" s="5" t="s">
        <v>15</v>
      </c>
      <c r="D111" s="5" t="s">
        <v>28</v>
      </c>
      <c r="E111" s="15">
        <v>69411.7</v>
      </c>
      <c r="F111" s="5">
        <v>5493</v>
      </c>
      <c r="G111" s="5">
        <v>0.29199999999999998</v>
      </c>
      <c r="H111" s="5">
        <v>13</v>
      </c>
      <c r="I111" s="5">
        <v>86.5</v>
      </c>
      <c r="J111" s="5">
        <v>6.69</v>
      </c>
      <c r="K111" s="5">
        <v>0</v>
      </c>
      <c r="L111" s="5">
        <v>3.8</v>
      </c>
      <c r="M111" s="15">
        <v>664162.49</v>
      </c>
      <c r="N111" s="5">
        <v>98291.06</v>
      </c>
    </row>
    <row r="112" spans="1:14">
      <c r="A112" s="5" t="s">
        <v>49</v>
      </c>
      <c r="B112" s="6">
        <v>45717</v>
      </c>
      <c r="C112" s="5" t="s">
        <v>15</v>
      </c>
      <c r="D112" s="5" t="s">
        <v>28</v>
      </c>
      <c r="E112" s="15">
        <v>51056.15</v>
      </c>
      <c r="F112" s="5">
        <v>5686</v>
      </c>
      <c r="G112" s="5">
        <v>8.8999999999999996E-2</v>
      </c>
      <c r="H112" s="5">
        <v>13</v>
      </c>
      <c r="I112" s="5">
        <v>89.9</v>
      </c>
      <c r="J112" s="5">
        <v>1.28</v>
      </c>
      <c r="K112" s="5">
        <v>0</v>
      </c>
      <c r="L112" s="5">
        <v>4.2</v>
      </c>
      <c r="M112" s="15">
        <v>633494.21</v>
      </c>
      <c r="N112" s="5">
        <v>105739.47</v>
      </c>
    </row>
    <row r="113" spans="1:14">
      <c r="A113" s="5" t="s">
        <v>49</v>
      </c>
      <c r="B113" s="6">
        <v>45748</v>
      </c>
      <c r="C113" s="5" t="s">
        <v>15</v>
      </c>
      <c r="D113" s="5" t="s">
        <v>28</v>
      </c>
      <c r="E113" s="15">
        <v>52758.01</v>
      </c>
      <c r="F113" s="5">
        <v>4063</v>
      </c>
      <c r="G113" s="5">
        <v>5.7000000000000002E-2</v>
      </c>
      <c r="H113" s="5">
        <v>12</v>
      </c>
      <c r="I113" s="5">
        <v>91.7</v>
      </c>
      <c r="J113" s="5">
        <v>0.92</v>
      </c>
      <c r="K113" s="5">
        <v>0</v>
      </c>
      <c r="L113" s="5">
        <v>3.5</v>
      </c>
      <c r="M113" s="15">
        <v>713611.16</v>
      </c>
      <c r="N113" s="5">
        <v>129717.18</v>
      </c>
    </row>
    <row r="114" spans="1:14">
      <c r="A114" s="5" t="s">
        <v>50</v>
      </c>
      <c r="B114" s="6">
        <v>45658</v>
      </c>
      <c r="C114" s="5" t="s">
        <v>27</v>
      </c>
      <c r="D114" s="5" t="s">
        <v>28</v>
      </c>
      <c r="E114" s="15">
        <v>61426.04</v>
      </c>
      <c r="F114" s="5">
        <v>8966</v>
      </c>
      <c r="G114" s="5">
        <v>0.17299999999999999</v>
      </c>
      <c r="H114" s="5">
        <v>22</v>
      </c>
      <c r="I114" s="5">
        <v>76.400000000000006</v>
      </c>
      <c r="J114" s="5">
        <v>1.05</v>
      </c>
      <c r="K114" s="5">
        <v>0</v>
      </c>
      <c r="L114" s="5">
        <v>3.1</v>
      </c>
      <c r="M114" s="15">
        <v>778397.97</v>
      </c>
      <c r="N114" s="5">
        <v>120044.41</v>
      </c>
    </row>
    <row r="115" spans="1:14">
      <c r="A115" s="5" t="s">
        <v>50</v>
      </c>
      <c r="B115" s="6">
        <v>45689</v>
      </c>
      <c r="C115" s="5" t="s">
        <v>27</v>
      </c>
      <c r="D115" s="5" t="s">
        <v>28</v>
      </c>
      <c r="E115" s="15">
        <v>80176.34</v>
      </c>
      <c r="F115" s="5">
        <v>9489</v>
      </c>
      <c r="G115" s="5">
        <v>0.14199999999999999</v>
      </c>
      <c r="H115" s="5">
        <v>22</v>
      </c>
      <c r="I115" s="5">
        <v>94.3</v>
      </c>
      <c r="J115" s="5">
        <v>2.67</v>
      </c>
      <c r="K115" s="5">
        <v>0</v>
      </c>
      <c r="L115" s="5">
        <v>3.5</v>
      </c>
      <c r="M115" s="15">
        <v>873380.02</v>
      </c>
      <c r="N115" s="5">
        <v>149734.76</v>
      </c>
    </row>
    <row r="116" spans="1:14">
      <c r="A116" s="5" t="s">
        <v>50</v>
      </c>
      <c r="B116" s="6">
        <v>45717</v>
      </c>
      <c r="C116" s="5" t="s">
        <v>27</v>
      </c>
      <c r="D116" s="5" t="s">
        <v>28</v>
      </c>
      <c r="E116" s="15">
        <v>33605.18</v>
      </c>
      <c r="F116" s="5">
        <v>9225</v>
      </c>
      <c r="G116" s="5">
        <v>0.159</v>
      </c>
      <c r="H116" s="5">
        <v>23</v>
      </c>
      <c r="I116" s="5">
        <v>88.4</v>
      </c>
      <c r="J116" s="5">
        <v>5.91</v>
      </c>
      <c r="K116" s="5">
        <v>0</v>
      </c>
      <c r="L116" s="5">
        <v>2.8</v>
      </c>
      <c r="M116" s="15">
        <v>697287.9</v>
      </c>
      <c r="N116" s="5">
        <v>128208.33</v>
      </c>
    </row>
    <row r="117" spans="1:14">
      <c r="A117" s="5" t="s">
        <v>50</v>
      </c>
      <c r="B117" s="6">
        <v>45748</v>
      </c>
      <c r="C117" s="5" t="s">
        <v>27</v>
      </c>
      <c r="D117" s="5" t="s">
        <v>28</v>
      </c>
      <c r="E117" s="15">
        <v>25990.54</v>
      </c>
      <c r="F117" s="5">
        <v>9249</v>
      </c>
      <c r="G117" s="5">
        <v>0.13900000000000001</v>
      </c>
      <c r="H117" s="5">
        <v>23</v>
      </c>
      <c r="I117" s="5">
        <v>92.5</v>
      </c>
      <c r="J117" s="5">
        <v>6.37</v>
      </c>
      <c r="K117" s="5">
        <v>0</v>
      </c>
      <c r="L117" s="5">
        <v>3.3</v>
      </c>
      <c r="M117" s="15">
        <v>718074.79</v>
      </c>
      <c r="N117" s="5">
        <v>115819.87</v>
      </c>
    </row>
    <row r="118" spans="1:14">
      <c r="A118" s="5" t="s">
        <v>51</v>
      </c>
      <c r="B118" s="6">
        <v>45658</v>
      </c>
      <c r="C118" s="5" t="s">
        <v>27</v>
      </c>
      <c r="D118" s="5" t="s">
        <v>16</v>
      </c>
      <c r="E118" s="15">
        <v>43685.14</v>
      </c>
      <c r="F118" s="5">
        <v>7821</v>
      </c>
      <c r="G118" s="5">
        <v>0.19</v>
      </c>
      <c r="H118" s="5">
        <v>17</v>
      </c>
      <c r="I118" s="5">
        <v>91</v>
      </c>
      <c r="J118" s="5">
        <v>2.4900000000000002</v>
      </c>
      <c r="K118" s="5">
        <v>1</v>
      </c>
      <c r="L118" s="5">
        <v>4.7</v>
      </c>
      <c r="M118" s="15">
        <v>714942.43</v>
      </c>
      <c r="N118" s="5">
        <v>94697.71</v>
      </c>
    </row>
    <row r="119" spans="1:14">
      <c r="A119" s="5" t="s">
        <v>51</v>
      </c>
      <c r="B119" s="6">
        <v>45689</v>
      </c>
      <c r="C119" s="5" t="s">
        <v>27</v>
      </c>
      <c r="D119" s="5" t="s">
        <v>16</v>
      </c>
      <c r="E119" s="15">
        <v>57360.01</v>
      </c>
      <c r="F119" s="5">
        <v>8434</v>
      </c>
      <c r="G119" s="5">
        <v>0.151</v>
      </c>
      <c r="H119" s="5">
        <v>19</v>
      </c>
      <c r="I119" s="5">
        <v>84.1</v>
      </c>
      <c r="J119" s="5">
        <v>1.56</v>
      </c>
      <c r="K119" s="5">
        <v>0</v>
      </c>
      <c r="L119" s="5">
        <v>4.7</v>
      </c>
      <c r="M119" s="15">
        <v>820519.04</v>
      </c>
      <c r="N119" s="5">
        <v>99035.88</v>
      </c>
    </row>
    <row r="120" spans="1:14">
      <c r="A120" s="5" t="s">
        <v>51</v>
      </c>
      <c r="B120" s="6">
        <v>45717</v>
      </c>
      <c r="C120" s="5" t="s">
        <v>27</v>
      </c>
      <c r="D120" s="5" t="s">
        <v>16</v>
      </c>
      <c r="E120" s="15">
        <v>42415.47</v>
      </c>
      <c r="F120" s="5">
        <v>8512</v>
      </c>
      <c r="G120" s="5">
        <v>0.13300000000000001</v>
      </c>
      <c r="H120" s="5">
        <v>18</v>
      </c>
      <c r="I120" s="5">
        <v>96.8</v>
      </c>
      <c r="J120" s="5">
        <v>14.95</v>
      </c>
      <c r="K120" s="5">
        <v>0</v>
      </c>
      <c r="L120" s="5">
        <v>4.5999999999999996</v>
      </c>
      <c r="M120" s="15">
        <v>684217.32</v>
      </c>
      <c r="N120" s="5">
        <v>136217.19</v>
      </c>
    </row>
    <row r="121" spans="1:14">
      <c r="A121" s="5" t="s">
        <v>51</v>
      </c>
      <c r="B121" s="6">
        <v>45748</v>
      </c>
      <c r="C121" s="5" t="s">
        <v>27</v>
      </c>
      <c r="D121" s="5" t="s">
        <v>16</v>
      </c>
      <c r="E121" s="15">
        <v>54968.98</v>
      </c>
      <c r="F121" s="5">
        <v>7816</v>
      </c>
      <c r="G121" s="5">
        <v>0.23200000000000001</v>
      </c>
      <c r="H121" s="5">
        <v>19</v>
      </c>
      <c r="I121" s="5">
        <v>95.7</v>
      </c>
      <c r="J121" s="5">
        <v>7.85</v>
      </c>
      <c r="K121" s="5">
        <v>0</v>
      </c>
      <c r="L121" s="5">
        <v>4.7</v>
      </c>
      <c r="M121" s="15">
        <v>735480.19</v>
      </c>
      <c r="N121" s="5">
        <v>88342.11</v>
      </c>
    </row>
    <row r="122" spans="1:14">
      <c r="A122" s="5" t="s">
        <v>52</v>
      </c>
      <c r="B122" s="6">
        <v>45658</v>
      </c>
      <c r="C122" s="5" t="s">
        <v>20</v>
      </c>
      <c r="D122" s="5" t="s">
        <v>18</v>
      </c>
      <c r="E122" s="15">
        <v>43896.13</v>
      </c>
      <c r="F122" s="5">
        <v>3853</v>
      </c>
      <c r="G122" s="5">
        <v>8.7999999999999995E-2</v>
      </c>
      <c r="H122" s="5">
        <v>13</v>
      </c>
      <c r="I122" s="5">
        <v>83</v>
      </c>
      <c r="J122" s="5">
        <v>6.8</v>
      </c>
      <c r="K122" s="5">
        <v>0</v>
      </c>
      <c r="L122" s="5">
        <v>4.4000000000000004</v>
      </c>
      <c r="M122" s="15">
        <v>509484.81</v>
      </c>
      <c r="N122" s="5">
        <v>85742.36</v>
      </c>
    </row>
    <row r="123" spans="1:14">
      <c r="A123" s="5" t="s">
        <v>52</v>
      </c>
      <c r="B123" s="6">
        <v>45689</v>
      </c>
      <c r="C123" s="5" t="s">
        <v>20</v>
      </c>
      <c r="D123" s="5" t="s">
        <v>18</v>
      </c>
      <c r="E123" s="15">
        <v>83044.17</v>
      </c>
      <c r="F123" s="5">
        <v>3694</v>
      </c>
      <c r="G123" s="5">
        <v>0</v>
      </c>
      <c r="H123" s="5">
        <v>14</v>
      </c>
      <c r="I123" s="5">
        <v>89.4</v>
      </c>
      <c r="J123" s="5">
        <v>2.2000000000000002</v>
      </c>
      <c r="K123" s="5">
        <v>0</v>
      </c>
      <c r="L123" s="5">
        <v>3.7</v>
      </c>
      <c r="M123" s="15">
        <v>654317.09</v>
      </c>
      <c r="N123" s="5">
        <v>121446.89</v>
      </c>
    </row>
    <row r="124" spans="1:14">
      <c r="A124" s="5" t="s">
        <v>52</v>
      </c>
      <c r="B124" s="6">
        <v>45717</v>
      </c>
      <c r="C124" s="5" t="s">
        <v>20</v>
      </c>
      <c r="D124" s="5" t="s">
        <v>18</v>
      </c>
      <c r="E124" s="15">
        <v>48396.13</v>
      </c>
      <c r="F124" s="5">
        <v>4423</v>
      </c>
      <c r="G124" s="5">
        <v>6.9000000000000006E-2</v>
      </c>
      <c r="H124" s="5">
        <v>15</v>
      </c>
      <c r="I124" s="5">
        <v>85.7</v>
      </c>
      <c r="J124" s="5">
        <v>1.88</v>
      </c>
      <c r="K124" s="5">
        <v>0</v>
      </c>
      <c r="L124" s="5">
        <v>3.9</v>
      </c>
      <c r="M124" s="15">
        <v>557487.26</v>
      </c>
      <c r="N124" s="5">
        <v>76432.19</v>
      </c>
    </row>
    <row r="125" spans="1:14">
      <c r="A125" s="5" t="s">
        <v>52</v>
      </c>
      <c r="B125" s="6">
        <v>45748</v>
      </c>
      <c r="C125" s="5" t="s">
        <v>20</v>
      </c>
      <c r="D125" s="5" t="s">
        <v>18</v>
      </c>
      <c r="E125" s="15">
        <v>19063.48</v>
      </c>
      <c r="F125" s="5">
        <v>1906</v>
      </c>
      <c r="G125" s="5">
        <v>0.216</v>
      </c>
      <c r="H125" s="5">
        <v>10</v>
      </c>
      <c r="I125" s="5">
        <v>97.8</v>
      </c>
      <c r="J125" s="5">
        <v>15.79</v>
      </c>
      <c r="K125" s="5">
        <v>0</v>
      </c>
      <c r="L125" s="5">
        <v>4.4000000000000004</v>
      </c>
      <c r="M125" s="15">
        <v>441275.42</v>
      </c>
      <c r="N125" s="5">
        <v>58234.87</v>
      </c>
    </row>
    <row r="126" spans="1:14">
      <c r="A126" s="5" t="s">
        <v>53</v>
      </c>
      <c r="B126" s="6">
        <v>45658</v>
      </c>
      <c r="C126" s="5" t="s">
        <v>24</v>
      </c>
      <c r="D126" s="5" t="s">
        <v>18</v>
      </c>
      <c r="E126" s="15">
        <v>61541.21</v>
      </c>
      <c r="F126" s="5">
        <v>10396</v>
      </c>
      <c r="G126" s="5">
        <v>0.123</v>
      </c>
      <c r="H126" s="5">
        <v>25</v>
      </c>
      <c r="I126" s="5">
        <v>88.1</v>
      </c>
      <c r="J126" s="5">
        <v>2.34</v>
      </c>
      <c r="K126" s="5">
        <v>1</v>
      </c>
      <c r="L126" s="5">
        <v>4.8</v>
      </c>
      <c r="M126" s="15">
        <v>914544.17</v>
      </c>
      <c r="N126" s="5">
        <v>79831.73</v>
      </c>
    </row>
    <row r="127" spans="1:14">
      <c r="A127" s="5" t="s">
        <v>53</v>
      </c>
      <c r="B127" s="6">
        <v>45689</v>
      </c>
      <c r="C127" s="5" t="s">
        <v>24</v>
      </c>
      <c r="D127" s="5" t="s">
        <v>18</v>
      </c>
      <c r="E127" s="15">
        <v>44747</v>
      </c>
      <c r="F127" s="5">
        <v>11076</v>
      </c>
      <c r="G127" s="5">
        <v>0.17599999999999999</v>
      </c>
      <c r="H127" s="5">
        <v>27</v>
      </c>
      <c r="I127" s="5">
        <v>98.3</v>
      </c>
      <c r="J127" s="5">
        <v>0.54</v>
      </c>
      <c r="K127" s="5">
        <v>0</v>
      </c>
      <c r="L127" s="5">
        <v>4.4000000000000004</v>
      </c>
      <c r="M127" s="15">
        <v>842439.67</v>
      </c>
      <c r="N127" s="5">
        <v>169983.63</v>
      </c>
    </row>
    <row r="128" spans="1:14">
      <c r="A128" s="5" t="s">
        <v>53</v>
      </c>
      <c r="B128" s="6">
        <v>45717</v>
      </c>
      <c r="C128" s="5" t="s">
        <v>24</v>
      </c>
      <c r="D128" s="5" t="s">
        <v>18</v>
      </c>
      <c r="E128" s="15">
        <v>56517.9</v>
      </c>
      <c r="F128" s="5">
        <v>9574</v>
      </c>
      <c r="G128" s="5">
        <v>0.20399999999999999</v>
      </c>
      <c r="H128" s="5">
        <v>20</v>
      </c>
      <c r="I128" s="5">
        <v>88.2</v>
      </c>
      <c r="J128" s="5">
        <v>5.37</v>
      </c>
      <c r="K128" s="5">
        <v>1</v>
      </c>
      <c r="L128" s="5">
        <v>4.9000000000000004</v>
      </c>
      <c r="M128" s="15">
        <v>842157.92</v>
      </c>
      <c r="N128" s="5">
        <v>107348.22</v>
      </c>
    </row>
    <row r="129" spans="1:14">
      <c r="A129" s="5" t="s">
        <v>53</v>
      </c>
      <c r="B129" s="6">
        <v>45748</v>
      </c>
      <c r="C129" s="5" t="s">
        <v>24</v>
      </c>
      <c r="D129" s="5" t="s">
        <v>18</v>
      </c>
      <c r="E129" s="15">
        <v>37828.5</v>
      </c>
      <c r="F129" s="5">
        <v>8221</v>
      </c>
      <c r="G129" s="5">
        <v>9.6000000000000002E-2</v>
      </c>
      <c r="H129" s="5">
        <v>19</v>
      </c>
      <c r="I129" s="5">
        <v>81.5</v>
      </c>
      <c r="J129" s="5">
        <v>3.19</v>
      </c>
      <c r="K129" s="5">
        <v>0</v>
      </c>
      <c r="L129" s="5">
        <v>4.8</v>
      </c>
      <c r="M129" s="15">
        <v>697155.3</v>
      </c>
      <c r="N129" s="5">
        <v>136408.54</v>
      </c>
    </row>
    <row r="130" spans="1:14">
      <c r="A130" s="5" t="s">
        <v>54</v>
      </c>
      <c r="B130" s="6">
        <v>45658</v>
      </c>
      <c r="C130" s="5" t="s">
        <v>15</v>
      </c>
      <c r="D130" s="5" t="s">
        <v>18</v>
      </c>
      <c r="E130" s="15">
        <v>66250.53</v>
      </c>
      <c r="F130" s="5">
        <v>10618</v>
      </c>
      <c r="G130" s="5">
        <v>0.14199999999999999</v>
      </c>
      <c r="H130" s="5">
        <v>27</v>
      </c>
      <c r="I130" s="5">
        <v>88.3</v>
      </c>
      <c r="J130" s="5">
        <v>1.1000000000000001</v>
      </c>
      <c r="K130" s="5">
        <v>1</v>
      </c>
      <c r="L130" s="5">
        <v>4.4000000000000004</v>
      </c>
      <c r="M130" s="15">
        <v>849018.3</v>
      </c>
      <c r="N130" s="5">
        <v>149035.13</v>
      </c>
    </row>
    <row r="131" spans="1:14">
      <c r="A131" s="5" t="s">
        <v>54</v>
      </c>
      <c r="B131" s="6">
        <v>45689</v>
      </c>
      <c r="C131" s="5" t="s">
        <v>15</v>
      </c>
      <c r="D131" s="5" t="s">
        <v>18</v>
      </c>
      <c r="E131" s="15">
        <v>68410.929999999993</v>
      </c>
      <c r="F131" s="5">
        <v>10596</v>
      </c>
      <c r="G131" s="5">
        <v>0.20699999999999999</v>
      </c>
      <c r="H131" s="5">
        <v>25</v>
      </c>
      <c r="I131" s="5">
        <v>81.2</v>
      </c>
      <c r="J131" s="5">
        <v>0.21</v>
      </c>
      <c r="K131" s="5">
        <v>0</v>
      </c>
      <c r="L131" s="5">
        <v>4</v>
      </c>
      <c r="M131" s="15">
        <v>801830.35</v>
      </c>
      <c r="N131" s="5">
        <v>114875.32</v>
      </c>
    </row>
    <row r="132" spans="1:14">
      <c r="A132" s="5" t="s">
        <v>54</v>
      </c>
      <c r="B132" s="6">
        <v>45717</v>
      </c>
      <c r="C132" s="5" t="s">
        <v>15</v>
      </c>
      <c r="D132" s="5" t="s">
        <v>18</v>
      </c>
      <c r="E132" s="15">
        <v>50735.63</v>
      </c>
      <c r="F132" s="5">
        <v>9619</v>
      </c>
      <c r="G132" s="5">
        <v>0.14399999999999999</v>
      </c>
      <c r="H132" s="5">
        <v>19</v>
      </c>
      <c r="I132" s="5">
        <v>93.8</v>
      </c>
      <c r="J132" s="5">
        <v>5.12</v>
      </c>
      <c r="K132" s="5">
        <v>1</v>
      </c>
      <c r="L132" s="5">
        <v>4.5</v>
      </c>
      <c r="M132" s="15">
        <v>725235.28</v>
      </c>
      <c r="N132" s="5">
        <v>121632.24</v>
      </c>
    </row>
    <row r="133" spans="1:14">
      <c r="A133" s="5" t="s">
        <v>54</v>
      </c>
      <c r="B133" s="6">
        <v>45748</v>
      </c>
      <c r="C133" s="5" t="s">
        <v>15</v>
      </c>
      <c r="D133" s="5" t="s">
        <v>18</v>
      </c>
      <c r="E133" s="15">
        <v>66455.8</v>
      </c>
      <c r="F133" s="5">
        <v>10836</v>
      </c>
      <c r="G133" s="5">
        <v>8.8999999999999996E-2</v>
      </c>
      <c r="H133" s="5">
        <v>25</v>
      </c>
      <c r="I133" s="5">
        <v>85</v>
      </c>
      <c r="J133" s="5">
        <v>9.77</v>
      </c>
      <c r="K133" s="5">
        <v>0</v>
      </c>
      <c r="L133" s="5">
        <v>4.5</v>
      </c>
      <c r="M133" s="15">
        <v>811452.72</v>
      </c>
      <c r="N133" s="5">
        <v>131325.67000000001</v>
      </c>
    </row>
    <row r="134" spans="1:14">
      <c r="A134" s="5" t="s">
        <v>55</v>
      </c>
      <c r="B134" s="6">
        <v>45658</v>
      </c>
      <c r="C134" s="5" t="s">
        <v>20</v>
      </c>
      <c r="D134" s="5" t="s">
        <v>18</v>
      </c>
      <c r="E134" s="15">
        <v>70276.28</v>
      </c>
      <c r="F134" s="5">
        <v>3043</v>
      </c>
      <c r="G134" s="5">
        <v>7.9000000000000001E-2</v>
      </c>
      <c r="H134" s="5">
        <v>9</v>
      </c>
      <c r="I134" s="5">
        <v>87.9</v>
      </c>
      <c r="J134" s="5">
        <v>3.77</v>
      </c>
      <c r="K134" s="5">
        <v>0</v>
      </c>
      <c r="L134" s="5">
        <v>4.4000000000000004</v>
      </c>
      <c r="M134" s="15">
        <v>527300.13</v>
      </c>
      <c r="N134" s="5">
        <v>84197.87</v>
      </c>
    </row>
    <row r="135" spans="1:14">
      <c r="A135" s="5" t="s">
        <v>55</v>
      </c>
      <c r="B135" s="6">
        <v>45689</v>
      </c>
      <c r="C135" s="5" t="s">
        <v>20</v>
      </c>
      <c r="D135" s="5" t="s">
        <v>18</v>
      </c>
      <c r="E135" s="15">
        <v>22071.64</v>
      </c>
      <c r="F135" s="5">
        <v>1814</v>
      </c>
      <c r="G135" s="5">
        <v>0.19600000000000001</v>
      </c>
      <c r="H135" s="5">
        <v>8</v>
      </c>
      <c r="I135" s="5">
        <v>81.099999999999994</v>
      </c>
      <c r="J135" s="5">
        <v>0.78</v>
      </c>
      <c r="K135" s="5">
        <v>0</v>
      </c>
      <c r="L135" s="5">
        <v>3.8</v>
      </c>
      <c r="M135" s="15">
        <v>400831.65</v>
      </c>
      <c r="N135" s="5">
        <v>70979.31</v>
      </c>
    </row>
    <row r="136" spans="1:14">
      <c r="A136" s="5" t="s">
        <v>55</v>
      </c>
      <c r="B136" s="6">
        <v>45717</v>
      </c>
      <c r="C136" s="5" t="s">
        <v>20</v>
      </c>
      <c r="D136" s="5" t="s">
        <v>18</v>
      </c>
      <c r="E136" s="15">
        <v>52285.45</v>
      </c>
      <c r="F136" s="5">
        <v>3618</v>
      </c>
      <c r="G136" s="5">
        <v>8.5999999999999993E-2</v>
      </c>
      <c r="H136" s="5">
        <v>11</v>
      </c>
      <c r="I136" s="5">
        <v>95.6</v>
      </c>
      <c r="J136" s="5">
        <v>5.17</v>
      </c>
      <c r="K136" s="5">
        <v>1</v>
      </c>
      <c r="L136" s="5">
        <v>4.4000000000000004</v>
      </c>
      <c r="M136" s="15">
        <v>593247.25</v>
      </c>
      <c r="N136" s="5">
        <v>81240.289999999994</v>
      </c>
    </row>
    <row r="137" spans="1:14">
      <c r="A137" s="5" t="s">
        <v>55</v>
      </c>
      <c r="B137" s="6">
        <v>45748</v>
      </c>
      <c r="C137" s="5" t="s">
        <v>20</v>
      </c>
      <c r="D137" s="5" t="s">
        <v>18</v>
      </c>
      <c r="E137" s="15">
        <v>70366.759999999995</v>
      </c>
      <c r="F137" s="5">
        <v>1963</v>
      </c>
      <c r="G137" s="5">
        <v>0.182</v>
      </c>
      <c r="H137" s="5">
        <v>8</v>
      </c>
      <c r="I137" s="5">
        <v>89.8</v>
      </c>
      <c r="J137" s="5">
        <v>3.2</v>
      </c>
      <c r="K137" s="5">
        <v>0</v>
      </c>
      <c r="L137" s="5">
        <v>4.5999999999999996</v>
      </c>
      <c r="M137" s="15">
        <v>529075.94999999995</v>
      </c>
      <c r="N137" s="5">
        <v>95978.83</v>
      </c>
    </row>
    <row r="138" spans="1:14">
      <c r="A138" s="5" t="s">
        <v>56</v>
      </c>
      <c r="B138" s="6">
        <v>45658</v>
      </c>
      <c r="C138" s="5" t="s">
        <v>24</v>
      </c>
      <c r="D138" s="5" t="s">
        <v>16</v>
      </c>
      <c r="E138" s="15">
        <v>71320.66</v>
      </c>
      <c r="F138" s="5">
        <v>7888</v>
      </c>
      <c r="G138" s="5">
        <v>4.8000000000000001E-2</v>
      </c>
      <c r="H138" s="5">
        <v>20</v>
      </c>
      <c r="I138" s="5">
        <v>78.099999999999994</v>
      </c>
      <c r="J138" s="5">
        <v>3.4</v>
      </c>
      <c r="K138" s="5">
        <v>0</v>
      </c>
      <c r="L138" s="5">
        <v>3.9</v>
      </c>
      <c r="M138" s="15">
        <v>633638.03</v>
      </c>
      <c r="N138" s="5">
        <v>99402.01</v>
      </c>
    </row>
    <row r="139" spans="1:14">
      <c r="A139" s="5" t="s">
        <v>56</v>
      </c>
      <c r="B139" s="6">
        <v>45689</v>
      </c>
      <c r="C139" s="5" t="s">
        <v>24</v>
      </c>
      <c r="D139" s="5" t="s">
        <v>16</v>
      </c>
      <c r="E139" s="15">
        <v>75109.67</v>
      </c>
      <c r="F139" s="5">
        <v>6244</v>
      </c>
      <c r="G139" s="5">
        <v>7.9000000000000001E-2</v>
      </c>
      <c r="H139" s="5">
        <v>15</v>
      </c>
      <c r="I139" s="5">
        <v>96.3</v>
      </c>
      <c r="J139" s="5">
        <v>7.38</v>
      </c>
      <c r="K139" s="5">
        <v>0</v>
      </c>
      <c r="L139" s="5">
        <v>3.7</v>
      </c>
      <c r="M139" s="15">
        <v>743348.84</v>
      </c>
      <c r="N139" s="5">
        <v>104186.09</v>
      </c>
    </row>
    <row r="140" spans="1:14">
      <c r="A140" s="5" t="s">
        <v>56</v>
      </c>
      <c r="B140" s="6">
        <v>45717</v>
      </c>
      <c r="C140" s="5" t="s">
        <v>24</v>
      </c>
      <c r="D140" s="5" t="s">
        <v>16</v>
      </c>
      <c r="E140" s="15">
        <v>69779</v>
      </c>
      <c r="F140" s="5">
        <v>6544</v>
      </c>
      <c r="G140" s="5">
        <v>0.152</v>
      </c>
      <c r="H140" s="5">
        <v>18</v>
      </c>
      <c r="I140" s="5">
        <v>90.2</v>
      </c>
      <c r="J140" s="5">
        <v>0.85</v>
      </c>
      <c r="K140" s="5">
        <v>1</v>
      </c>
      <c r="L140" s="5">
        <v>3.3</v>
      </c>
      <c r="M140" s="15">
        <v>758827.64</v>
      </c>
      <c r="N140" s="5">
        <v>161439.48000000001</v>
      </c>
    </row>
    <row r="141" spans="1:14">
      <c r="A141" s="5" t="s">
        <v>56</v>
      </c>
      <c r="B141" s="6">
        <v>45748</v>
      </c>
      <c r="C141" s="5" t="s">
        <v>24</v>
      </c>
      <c r="D141" s="5" t="s">
        <v>16</v>
      </c>
      <c r="E141" s="15">
        <v>44211.95</v>
      </c>
      <c r="F141" s="5">
        <v>5465</v>
      </c>
      <c r="G141" s="5">
        <v>0.187</v>
      </c>
      <c r="H141" s="5">
        <v>12</v>
      </c>
      <c r="I141" s="5">
        <v>90</v>
      </c>
      <c r="J141" s="5">
        <v>2.89</v>
      </c>
      <c r="K141" s="5">
        <v>0</v>
      </c>
      <c r="L141" s="5">
        <v>3.6</v>
      </c>
      <c r="M141" s="15">
        <v>646559.71</v>
      </c>
      <c r="N141" s="5">
        <v>97981.75</v>
      </c>
    </row>
    <row r="142" spans="1:14">
      <c r="A142" s="5" t="s">
        <v>57</v>
      </c>
      <c r="B142" s="6">
        <v>45658</v>
      </c>
      <c r="C142" s="5" t="s">
        <v>27</v>
      </c>
      <c r="D142" s="5" t="s">
        <v>18</v>
      </c>
      <c r="E142" s="15">
        <v>51430.31</v>
      </c>
      <c r="F142" s="5">
        <v>6427</v>
      </c>
      <c r="G142" s="5">
        <v>0.23400000000000001</v>
      </c>
      <c r="H142" s="5">
        <v>14</v>
      </c>
      <c r="I142" s="5">
        <v>88.8</v>
      </c>
      <c r="J142" s="5">
        <v>0.77</v>
      </c>
      <c r="K142" s="5">
        <v>0</v>
      </c>
      <c r="L142" s="5">
        <v>4.0999999999999996</v>
      </c>
      <c r="M142" s="15">
        <v>715890.53</v>
      </c>
      <c r="N142" s="5">
        <v>109032.15</v>
      </c>
    </row>
    <row r="143" spans="1:14">
      <c r="A143" s="5" t="s">
        <v>57</v>
      </c>
      <c r="B143" s="6">
        <v>45689</v>
      </c>
      <c r="C143" s="5" t="s">
        <v>27</v>
      </c>
      <c r="D143" s="5" t="s">
        <v>18</v>
      </c>
      <c r="E143" s="15">
        <v>45706.49</v>
      </c>
      <c r="F143" s="5">
        <v>6704</v>
      </c>
      <c r="G143" s="5">
        <v>3.7999999999999999E-2</v>
      </c>
      <c r="H143" s="5">
        <v>15</v>
      </c>
      <c r="I143" s="5">
        <v>94.2</v>
      </c>
      <c r="J143" s="5">
        <v>2.92</v>
      </c>
      <c r="K143" s="5">
        <v>0</v>
      </c>
      <c r="L143" s="5">
        <v>4.2</v>
      </c>
      <c r="M143" s="15">
        <v>715097.57</v>
      </c>
      <c r="N143" s="5">
        <v>151875.85999999999</v>
      </c>
    </row>
    <row r="144" spans="1:14">
      <c r="A144" s="5" t="s">
        <v>57</v>
      </c>
      <c r="B144" s="6">
        <v>45717</v>
      </c>
      <c r="C144" s="5" t="s">
        <v>27</v>
      </c>
      <c r="D144" s="5" t="s">
        <v>18</v>
      </c>
      <c r="E144" s="15">
        <v>44034.6</v>
      </c>
      <c r="F144" s="5">
        <v>5645</v>
      </c>
      <c r="G144" s="5">
        <v>6.9000000000000006E-2</v>
      </c>
      <c r="H144" s="5">
        <v>18</v>
      </c>
      <c r="I144" s="5">
        <v>88.5</v>
      </c>
      <c r="J144" s="5">
        <v>3.07</v>
      </c>
      <c r="K144" s="5">
        <v>0</v>
      </c>
      <c r="L144" s="5">
        <v>3.8</v>
      </c>
      <c r="M144" s="15">
        <v>682639.28</v>
      </c>
      <c r="N144" s="5">
        <v>77557.53</v>
      </c>
    </row>
    <row r="145" spans="1:14">
      <c r="A145" s="5" t="s">
        <v>57</v>
      </c>
      <c r="B145" s="6">
        <v>45748</v>
      </c>
      <c r="C145" s="5" t="s">
        <v>27</v>
      </c>
      <c r="D145" s="5" t="s">
        <v>18</v>
      </c>
      <c r="E145" s="15">
        <v>50198.12</v>
      </c>
      <c r="F145" s="5">
        <v>6089</v>
      </c>
      <c r="G145" s="5">
        <v>0.182</v>
      </c>
      <c r="H145" s="5">
        <v>19</v>
      </c>
      <c r="I145" s="5">
        <v>94</v>
      </c>
      <c r="J145" s="5">
        <v>9.6999999999999993</v>
      </c>
      <c r="K145" s="5">
        <v>0</v>
      </c>
      <c r="L145" s="5">
        <v>3.9</v>
      </c>
      <c r="M145" s="15">
        <v>695098.51</v>
      </c>
      <c r="N145" s="5">
        <v>108192.75</v>
      </c>
    </row>
    <row r="146" spans="1:14">
      <c r="A146" s="5" t="s">
        <v>58</v>
      </c>
      <c r="B146" s="6">
        <v>45658</v>
      </c>
      <c r="C146" s="5" t="s">
        <v>20</v>
      </c>
      <c r="D146" s="5" t="s">
        <v>16</v>
      </c>
      <c r="E146" s="15">
        <v>70488.2</v>
      </c>
      <c r="F146" s="5">
        <v>4312</v>
      </c>
      <c r="G146" s="5">
        <v>0.16900000000000001</v>
      </c>
      <c r="H146" s="5">
        <v>12</v>
      </c>
      <c r="I146" s="5">
        <v>90.2</v>
      </c>
      <c r="J146" s="5">
        <v>3.71</v>
      </c>
      <c r="K146" s="5">
        <v>0</v>
      </c>
      <c r="L146" s="5">
        <v>3.2</v>
      </c>
      <c r="M146" s="15">
        <v>577732.56999999995</v>
      </c>
      <c r="N146" s="5">
        <v>93804.27</v>
      </c>
    </row>
    <row r="147" spans="1:14">
      <c r="A147" s="5" t="s">
        <v>58</v>
      </c>
      <c r="B147" s="6">
        <v>45689</v>
      </c>
      <c r="C147" s="5" t="s">
        <v>20</v>
      </c>
      <c r="D147" s="5" t="s">
        <v>16</v>
      </c>
      <c r="E147" s="15">
        <v>50909.27</v>
      </c>
      <c r="F147" s="5">
        <v>3152</v>
      </c>
      <c r="G147" s="5">
        <v>0.06</v>
      </c>
      <c r="H147" s="5">
        <v>13</v>
      </c>
      <c r="I147" s="5">
        <v>93.7</v>
      </c>
      <c r="J147" s="5">
        <v>10.79</v>
      </c>
      <c r="K147" s="5">
        <v>0</v>
      </c>
      <c r="L147" s="5">
        <v>3.5</v>
      </c>
      <c r="M147" s="15">
        <v>537058.32999999996</v>
      </c>
      <c r="N147" s="5">
        <v>93555.71</v>
      </c>
    </row>
    <row r="148" spans="1:14">
      <c r="A148" s="5" t="s">
        <v>58</v>
      </c>
      <c r="B148" s="6">
        <v>45717</v>
      </c>
      <c r="C148" s="5" t="s">
        <v>20</v>
      </c>
      <c r="D148" s="5" t="s">
        <v>16</v>
      </c>
      <c r="E148" s="15">
        <v>53351.7</v>
      </c>
      <c r="F148" s="5">
        <v>4259</v>
      </c>
      <c r="G148" s="5">
        <v>0.156</v>
      </c>
      <c r="H148" s="5">
        <v>15</v>
      </c>
      <c r="I148" s="5">
        <v>93.7</v>
      </c>
      <c r="J148" s="5">
        <v>6.03</v>
      </c>
      <c r="K148" s="5">
        <v>0</v>
      </c>
      <c r="L148" s="5">
        <v>3.4</v>
      </c>
      <c r="M148" s="15">
        <v>601568.87</v>
      </c>
      <c r="N148" s="5">
        <v>91634.82</v>
      </c>
    </row>
    <row r="149" spans="1:14">
      <c r="A149" s="5" t="s">
        <v>58</v>
      </c>
      <c r="B149" s="6">
        <v>45748</v>
      </c>
      <c r="C149" s="5" t="s">
        <v>20</v>
      </c>
      <c r="D149" s="5" t="s">
        <v>16</v>
      </c>
      <c r="E149" s="15">
        <v>60322.400000000001</v>
      </c>
      <c r="F149" s="5">
        <v>3350</v>
      </c>
      <c r="G149" s="5">
        <v>0.108</v>
      </c>
      <c r="H149" s="5">
        <v>12</v>
      </c>
      <c r="I149" s="5">
        <v>89.4</v>
      </c>
      <c r="J149" s="5">
        <v>4.92</v>
      </c>
      <c r="K149" s="5">
        <v>0</v>
      </c>
      <c r="L149" s="5">
        <v>3.4</v>
      </c>
      <c r="M149" s="15">
        <v>570964.84</v>
      </c>
      <c r="N149" s="5">
        <v>81331.070000000007</v>
      </c>
    </row>
    <row r="150" spans="1:14">
      <c r="A150" s="5" t="s">
        <v>59</v>
      </c>
      <c r="B150" s="6">
        <v>45658</v>
      </c>
      <c r="C150" s="5" t="s">
        <v>24</v>
      </c>
      <c r="D150" s="5" t="s">
        <v>28</v>
      </c>
      <c r="E150" s="15">
        <v>51575.68</v>
      </c>
      <c r="F150" s="5">
        <v>5329</v>
      </c>
      <c r="G150" s="5">
        <v>4.7E-2</v>
      </c>
      <c r="H150" s="5">
        <v>17</v>
      </c>
      <c r="I150" s="5">
        <v>88.1</v>
      </c>
      <c r="J150" s="5">
        <v>19.78</v>
      </c>
      <c r="K150" s="5">
        <v>0</v>
      </c>
      <c r="L150" s="5">
        <v>3.8</v>
      </c>
      <c r="M150" s="15">
        <v>614024.91</v>
      </c>
      <c r="N150" s="5">
        <v>84828.93</v>
      </c>
    </row>
    <row r="151" spans="1:14">
      <c r="A151" s="5" t="s">
        <v>59</v>
      </c>
      <c r="B151" s="6">
        <v>45689</v>
      </c>
      <c r="C151" s="5" t="s">
        <v>24</v>
      </c>
      <c r="D151" s="5" t="s">
        <v>28</v>
      </c>
      <c r="E151" s="15">
        <v>43319.94</v>
      </c>
      <c r="F151" s="5">
        <v>6551</v>
      </c>
      <c r="G151" s="5">
        <v>4.3999999999999997E-2</v>
      </c>
      <c r="H151" s="5">
        <v>13</v>
      </c>
      <c r="I151" s="5">
        <v>99</v>
      </c>
      <c r="J151" s="5">
        <v>5.45</v>
      </c>
      <c r="K151" s="5">
        <v>0</v>
      </c>
      <c r="L151" s="5">
        <v>4.0999999999999996</v>
      </c>
      <c r="M151" s="15">
        <v>712868.35</v>
      </c>
      <c r="N151" s="5">
        <v>133650.51</v>
      </c>
    </row>
    <row r="152" spans="1:14">
      <c r="A152" s="5" t="s">
        <v>59</v>
      </c>
      <c r="B152" s="6">
        <v>45717</v>
      </c>
      <c r="C152" s="5" t="s">
        <v>24</v>
      </c>
      <c r="D152" s="5" t="s">
        <v>28</v>
      </c>
      <c r="E152" s="15">
        <v>47093.55</v>
      </c>
      <c r="F152" s="5">
        <v>5550</v>
      </c>
      <c r="G152" s="5">
        <v>0.1</v>
      </c>
      <c r="H152" s="5">
        <v>12</v>
      </c>
      <c r="I152" s="5">
        <v>95</v>
      </c>
      <c r="J152" s="5">
        <v>2.33</v>
      </c>
      <c r="K152" s="5">
        <v>1</v>
      </c>
      <c r="L152" s="5">
        <v>3.7</v>
      </c>
      <c r="M152" s="15">
        <v>696744.15</v>
      </c>
      <c r="N152" s="5">
        <v>152230.09</v>
      </c>
    </row>
    <row r="153" spans="1:14">
      <c r="A153" s="5" t="s">
        <v>59</v>
      </c>
      <c r="B153" s="6">
        <v>45748</v>
      </c>
      <c r="C153" s="5" t="s">
        <v>24</v>
      </c>
      <c r="D153" s="5" t="s">
        <v>28</v>
      </c>
      <c r="E153" s="15">
        <v>71855.09</v>
      </c>
      <c r="F153" s="5">
        <v>5911</v>
      </c>
      <c r="G153" s="5">
        <v>0.19700000000000001</v>
      </c>
      <c r="H153" s="5">
        <v>15</v>
      </c>
      <c r="I153" s="5">
        <v>94.3</v>
      </c>
      <c r="J153" s="5">
        <v>3.55</v>
      </c>
      <c r="K153" s="5">
        <v>0</v>
      </c>
      <c r="L153" s="5">
        <v>4.0999999999999996</v>
      </c>
      <c r="M153" s="15">
        <v>725847.99</v>
      </c>
      <c r="N153" s="5">
        <v>122698.73</v>
      </c>
    </row>
    <row r="154" spans="1:14">
      <c r="A154" s="5" t="s">
        <v>60</v>
      </c>
      <c r="B154" s="6">
        <v>45658</v>
      </c>
      <c r="C154" s="5" t="s">
        <v>15</v>
      </c>
      <c r="D154" s="5" t="s">
        <v>18</v>
      </c>
      <c r="E154" s="15">
        <v>75645.23</v>
      </c>
      <c r="F154" s="5">
        <v>9674</v>
      </c>
      <c r="G154" s="5">
        <v>0.23400000000000001</v>
      </c>
      <c r="H154" s="5">
        <v>21</v>
      </c>
      <c r="I154" s="5">
        <v>87.4</v>
      </c>
      <c r="J154" s="5">
        <v>0.2</v>
      </c>
      <c r="K154" s="5">
        <v>0</v>
      </c>
      <c r="L154" s="5">
        <v>4.5</v>
      </c>
      <c r="M154" s="15">
        <v>785028.25</v>
      </c>
      <c r="N154" s="5">
        <v>110726.44</v>
      </c>
    </row>
    <row r="155" spans="1:14">
      <c r="A155" s="5" t="s">
        <v>60</v>
      </c>
      <c r="B155" s="6">
        <v>45689</v>
      </c>
      <c r="C155" s="5" t="s">
        <v>15</v>
      </c>
      <c r="D155" s="5" t="s">
        <v>18</v>
      </c>
      <c r="E155" s="15">
        <v>64374.75</v>
      </c>
      <c r="F155" s="5">
        <v>6740</v>
      </c>
      <c r="G155" s="5">
        <v>0.16900000000000001</v>
      </c>
      <c r="H155" s="5">
        <v>18</v>
      </c>
      <c r="I155" s="5">
        <v>87</v>
      </c>
      <c r="J155" s="5">
        <v>2.09</v>
      </c>
      <c r="K155" s="5">
        <v>0</v>
      </c>
      <c r="L155" s="5">
        <v>4.2</v>
      </c>
      <c r="M155" s="15">
        <v>698492.67</v>
      </c>
      <c r="N155" s="5">
        <v>117319.32</v>
      </c>
    </row>
    <row r="156" spans="1:14">
      <c r="A156" s="5" t="s">
        <v>60</v>
      </c>
      <c r="B156" s="6">
        <v>45717</v>
      </c>
      <c r="C156" s="5" t="s">
        <v>15</v>
      </c>
      <c r="D156" s="5" t="s">
        <v>18</v>
      </c>
      <c r="E156" s="15">
        <v>61433.84</v>
      </c>
      <c r="F156" s="5">
        <v>7745</v>
      </c>
      <c r="G156" s="5">
        <v>0.18</v>
      </c>
      <c r="H156" s="5">
        <v>16</v>
      </c>
      <c r="I156" s="5">
        <v>90.5</v>
      </c>
      <c r="J156" s="5">
        <v>2.2599999999999998</v>
      </c>
      <c r="K156" s="5">
        <v>0</v>
      </c>
      <c r="L156" s="5">
        <v>4.2</v>
      </c>
      <c r="M156" s="15">
        <v>685830.24</v>
      </c>
      <c r="N156" s="5">
        <v>128736.18</v>
      </c>
    </row>
    <row r="157" spans="1:14">
      <c r="A157" s="5" t="s">
        <v>60</v>
      </c>
      <c r="B157" s="6">
        <v>45748</v>
      </c>
      <c r="C157" s="5" t="s">
        <v>15</v>
      </c>
      <c r="D157" s="5" t="s">
        <v>18</v>
      </c>
      <c r="E157" s="15">
        <v>42698.14</v>
      </c>
      <c r="F157" s="5">
        <v>7693</v>
      </c>
      <c r="G157" s="5">
        <v>0.187</v>
      </c>
      <c r="H157" s="5">
        <v>19</v>
      </c>
      <c r="I157" s="5">
        <v>90.1</v>
      </c>
      <c r="J157" s="5">
        <v>0.44</v>
      </c>
      <c r="K157" s="5">
        <v>0</v>
      </c>
      <c r="L157" s="5">
        <v>4.4000000000000004</v>
      </c>
      <c r="M157" s="15">
        <v>702318.94</v>
      </c>
      <c r="N157" s="5">
        <v>112829.29</v>
      </c>
    </row>
    <row r="158" spans="1:14">
      <c r="A158" s="5" t="s">
        <v>61</v>
      </c>
      <c r="B158" s="6">
        <v>45658</v>
      </c>
      <c r="C158" s="5" t="s">
        <v>20</v>
      </c>
      <c r="D158" s="5" t="s">
        <v>28</v>
      </c>
      <c r="E158" s="15">
        <v>86883.31</v>
      </c>
      <c r="F158" s="5">
        <v>6424</v>
      </c>
      <c r="G158" s="5">
        <v>5.7000000000000002E-2</v>
      </c>
      <c r="H158" s="5">
        <v>19</v>
      </c>
      <c r="I158" s="5">
        <v>85.2</v>
      </c>
      <c r="J158" s="5">
        <v>3.08</v>
      </c>
      <c r="K158" s="5">
        <v>0</v>
      </c>
      <c r="L158" s="5">
        <v>3.9</v>
      </c>
      <c r="M158" s="15">
        <v>700078.32</v>
      </c>
      <c r="N158" s="5">
        <v>123707.58</v>
      </c>
    </row>
    <row r="159" spans="1:14">
      <c r="A159" s="5" t="s">
        <v>61</v>
      </c>
      <c r="B159" s="6">
        <v>45689</v>
      </c>
      <c r="C159" s="5" t="s">
        <v>20</v>
      </c>
      <c r="D159" s="5" t="s">
        <v>28</v>
      </c>
      <c r="E159" s="15">
        <v>41863.08</v>
      </c>
      <c r="F159" s="5">
        <v>5400</v>
      </c>
      <c r="G159" s="5">
        <v>0.114</v>
      </c>
      <c r="H159" s="5">
        <v>11</v>
      </c>
      <c r="I159" s="5">
        <v>91.6</v>
      </c>
      <c r="J159" s="5">
        <v>7.99</v>
      </c>
      <c r="K159" s="5">
        <v>0</v>
      </c>
      <c r="L159" s="5">
        <v>3</v>
      </c>
      <c r="M159" s="15">
        <v>602002.31999999995</v>
      </c>
      <c r="N159" s="5">
        <v>110453.28</v>
      </c>
    </row>
    <row r="160" spans="1:14">
      <c r="A160" s="5" t="s">
        <v>61</v>
      </c>
      <c r="B160" s="6">
        <v>45717</v>
      </c>
      <c r="C160" s="5" t="s">
        <v>20</v>
      </c>
      <c r="D160" s="5" t="s">
        <v>28</v>
      </c>
      <c r="E160" s="15">
        <v>56918.16</v>
      </c>
      <c r="F160" s="5">
        <v>7015</v>
      </c>
      <c r="G160" s="5">
        <v>0.158</v>
      </c>
      <c r="H160" s="5">
        <v>18</v>
      </c>
      <c r="I160" s="5">
        <v>74.2</v>
      </c>
      <c r="J160" s="5">
        <v>0.2</v>
      </c>
      <c r="K160" s="5">
        <v>0</v>
      </c>
      <c r="L160" s="5">
        <v>3.4</v>
      </c>
      <c r="M160" s="15">
        <v>724216.07</v>
      </c>
      <c r="N160" s="5">
        <v>100627.56</v>
      </c>
    </row>
    <row r="161" spans="1:14">
      <c r="A161" s="5" t="s">
        <v>61</v>
      </c>
      <c r="B161" s="6">
        <v>45748</v>
      </c>
      <c r="C161" s="5" t="s">
        <v>20</v>
      </c>
      <c r="D161" s="5" t="s">
        <v>28</v>
      </c>
      <c r="E161" s="15">
        <v>23254.57</v>
      </c>
      <c r="F161" s="5">
        <v>3847</v>
      </c>
      <c r="G161" s="5">
        <v>0.159</v>
      </c>
      <c r="H161" s="5">
        <v>12</v>
      </c>
      <c r="I161" s="5">
        <v>93</v>
      </c>
      <c r="J161" s="5">
        <v>5.46</v>
      </c>
      <c r="K161" s="5">
        <v>0</v>
      </c>
      <c r="L161" s="5">
        <v>3.3</v>
      </c>
      <c r="M161" s="15">
        <v>620973.03</v>
      </c>
      <c r="N161" s="5">
        <v>72303.850000000006</v>
      </c>
    </row>
    <row r="162" spans="1:14">
      <c r="A162" s="5" t="s">
        <v>62</v>
      </c>
      <c r="B162" s="6">
        <v>45658</v>
      </c>
      <c r="C162" s="5" t="s">
        <v>24</v>
      </c>
      <c r="D162" s="5" t="s">
        <v>18</v>
      </c>
      <c r="E162" s="15">
        <v>41443.410000000003</v>
      </c>
      <c r="F162" s="5">
        <v>7455</v>
      </c>
      <c r="G162" s="5">
        <v>0.17499999999999999</v>
      </c>
      <c r="H162" s="5">
        <v>16</v>
      </c>
      <c r="I162" s="5">
        <v>90.1</v>
      </c>
      <c r="J162" s="5">
        <v>4.05</v>
      </c>
      <c r="K162" s="5">
        <v>0</v>
      </c>
      <c r="L162" s="5">
        <v>4</v>
      </c>
      <c r="M162" s="15">
        <v>650480.06000000006</v>
      </c>
      <c r="N162" s="5">
        <v>109012.07</v>
      </c>
    </row>
    <row r="163" spans="1:14">
      <c r="A163" s="5" t="s">
        <v>62</v>
      </c>
      <c r="B163" s="6">
        <v>45689</v>
      </c>
      <c r="C163" s="5" t="s">
        <v>24</v>
      </c>
      <c r="D163" s="5" t="s">
        <v>18</v>
      </c>
      <c r="E163" s="15">
        <v>48438.85</v>
      </c>
      <c r="F163" s="5">
        <v>6992</v>
      </c>
      <c r="G163" s="5">
        <v>3.4000000000000002E-2</v>
      </c>
      <c r="H163" s="5">
        <v>20</v>
      </c>
      <c r="I163" s="5">
        <v>91</v>
      </c>
      <c r="J163" s="5">
        <v>4.3600000000000003</v>
      </c>
      <c r="K163" s="5">
        <v>0</v>
      </c>
      <c r="L163" s="5">
        <v>4.2</v>
      </c>
      <c r="M163" s="15">
        <v>778298.88</v>
      </c>
      <c r="N163" s="5">
        <v>130076.72</v>
      </c>
    </row>
    <row r="164" spans="1:14">
      <c r="A164" s="5" t="s">
        <v>62</v>
      </c>
      <c r="B164" s="6">
        <v>45717</v>
      </c>
      <c r="C164" s="5" t="s">
        <v>24</v>
      </c>
      <c r="D164" s="5" t="s">
        <v>18</v>
      </c>
      <c r="E164" s="15">
        <v>57143.3</v>
      </c>
      <c r="F164" s="5">
        <v>8038</v>
      </c>
      <c r="G164" s="5">
        <v>0.193</v>
      </c>
      <c r="H164" s="5">
        <v>17</v>
      </c>
      <c r="I164" s="5">
        <v>72.599999999999994</v>
      </c>
      <c r="J164" s="5">
        <v>3.3650000000000002</v>
      </c>
      <c r="K164" s="5">
        <v>0</v>
      </c>
      <c r="L164" s="5">
        <v>4.2</v>
      </c>
      <c r="M164" s="15">
        <v>677096.71</v>
      </c>
      <c r="N164" s="5">
        <v>97174.11</v>
      </c>
    </row>
    <row r="165" spans="1:14">
      <c r="A165" s="5" t="s">
        <v>62</v>
      </c>
      <c r="B165" s="6">
        <v>45748</v>
      </c>
      <c r="C165" s="5" t="s">
        <v>24</v>
      </c>
      <c r="D165" s="5" t="s">
        <v>18</v>
      </c>
      <c r="E165" s="15">
        <v>66870.62</v>
      </c>
      <c r="F165" s="5">
        <v>6055</v>
      </c>
      <c r="G165" s="5">
        <v>7.4999999999999997E-2</v>
      </c>
      <c r="H165" s="5">
        <v>19</v>
      </c>
      <c r="I165" s="5">
        <v>93.8</v>
      </c>
      <c r="J165" s="5">
        <v>0.54</v>
      </c>
      <c r="K165" s="5">
        <v>0</v>
      </c>
      <c r="L165" s="5">
        <v>4.3</v>
      </c>
      <c r="M165" s="15">
        <v>692008.64</v>
      </c>
      <c r="N165" s="5">
        <v>116337.87</v>
      </c>
    </row>
    <row r="166" spans="1:14">
      <c r="A166" s="5" t="s">
        <v>63</v>
      </c>
      <c r="B166" s="6">
        <v>45658</v>
      </c>
      <c r="C166" s="5" t="s">
        <v>20</v>
      </c>
      <c r="D166" s="5" t="s">
        <v>28</v>
      </c>
      <c r="E166" s="15">
        <v>72150.53</v>
      </c>
      <c r="F166" s="5">
        <v>9323</v>
      </c>
      <c r="G166" s="5">
        <v>0.157</v>
      </c>
      <c r="H166" s="5">
        <v>22</v>
      </c>
      <c r="I166" s="5">
        <v>82.9</v>
      </c>
      <c r="J166" s="5">
        <v>11.37</v>
      </c>
      <c r="K166" s="5">
        <v>1</v>
      </c>
      <c r="L166" s="5">
        <v>4.3</v>
      </c>
      <c r="M166" s="15">
        <v>825797.91</v>
      </c>
      <c r="N166" s="5">
        <v>130945.24</v>
      </c>
    </row>
    <row r="167" spans="1:14">
      <c r="A167" s="5" t="s">
        <v>63</v>
      </c>
      <c r="B167" s="6">
        <v>45689</v>
      </c>
      <c r="C167" s="5" t="s">
        <v>20</v>
      </c>
      <c r="D167" s="5" t="s">
        <v>28</v>
      </c>
      <c r="E167" s="15">
        <v>35303.300000000003</v>
      </c>
      <c r="F167" s="5">
        <v>8789</v>
      </c>
      <c r="G167" s="5">
        <v>0.123</v>
      </c>
      <c r="H167" s="5">
        <v>22</v>
      </c>
      <c r="I167" s="5">
        <v>86.1</v>
      </c>
      <c r="J167" s="5">
        <v>9.43</v>
      </c>
      <c r="K167" s="5">
        <v>0</v>
      </c>
      <c r="L167" s="5">
        <v>4.2</v>
      </c>
      <c r="M167" s="15">
        <v>706285.52</v>
      </c>
      <c r="N167" s="5">
        <v>138014.72</v>
      </c>
    </row>
    <row r="168" spans="1:14">
      <c r="A168" s="5" t="s">
        <v>63</v>
      </c>
      <c r="B168" s="6">
        <v>45717</v>
      </c>
      <c r="C168" s="5" t="s">
        <v>20</v>
      </c>
      <c r="D168" s="5" t="s">
        <v>28</v>
      </c>
      <c r="E168" s="15">
        <v>30301.86</v>
      </c>
      <c r="F168" s="5">
        <v>6939</v>
      </c>
      <c r="G168" s="5">
        <v>0.09</v>
      </c>
      <c r="H168" s="5">
        <v>16</v>
      </c>
      <c r="I168" s="5">
        <v>90.3</v>
      </c>
      <c r="J168" s="5">
        <v>3.49</v>
      </c>
      <c r="K168" s="5">
        <v>0</v>
      </c>
      <c r="L168" s="5">
        <v>4</v>
      </c>
      <c r="M168" s="15">
        <v>665534.69999999995</v>
      </c>
      <c r="N168" s="5">
        <v>113167.73</v>
      </c>
    </row>
    <row r="169" spans="1:14">
      <c r="A169" s="5" t="s">
        <v>63</v>
      </c>
      <c r="B169" s="6">
        <v>45748</v>
      </c>
      <c r="C169" s="5" t="s">
        <v>20</v>
      </c>
      <c r="D169" s="5" t="s">
        <v>28</v>
      </c>
      <c r="E169" s="15">
        <v>78432.14</v>
      </c>
      <c r="F169" s="5">
        <v>9440</v>
      </c>
      <c r="G169" s="5">
        <v>0.126</v>
      </c>
      <c r="H169" s="5">
        <v>23</v>
      </c>
      <c r="I169" s="5">
        <v>89.2</v>
      </c>
      <c r="J169" s="5">
        <v>7.86</v>
      </c>
      <c r="K169" s="5">
        <v>0</v>
      </c>
      <c r="L169" s="5">
        <v>4.0999999999999996</v>
      </c>
      <c r="M169" s="15">
        <v>820729.29</v>
      </c>
      <c r="N169" s="5">
        <v>159325.47</v>
      </c>
    </row>
    <row r="170" spans="1:14">
      <c r="A170" s="5" t="s">
        <v>64</v>
      </c>
      <c r="B170" s="6">
        <v>45658</v>
      </c>
      <c r="C170" s="5" t="s">
        <v>15</v>
      </c>
      <c r="D170" s="5" t="s">
        <v>16</v>
      </c>
      <c r="E170" s="15">
        <v>62059.18</v>
      </c>
      <c r="F170" s="5">
        <v>9374</v>
      </c>
      <c r="G170" s="5">
        <v>0.13600000000000001</v>
      </c>
      <c r="H170" s="5">
        <v>25</v>
      </c>
      <c r="I170" s="5">
        <v>87.1</v>
      </c>
      <c r="J170" s="5">
        <v>12.55</v>
      </c>
      <c r="K170" s="5">
        <v>0</v>
      </c>
      <c r="L170" s="5">
        <v>4.9000000000000004</v>
      </c>
      <c r="M170" s="15">
        <v>739831.73</v>
      </c>
      <c r="N170" s="5">
        <v>119490.21</v>
      </c>
    </row>
    <row r="171" spans="1:14">
      <c r="A171" s="5" t="s">
        <v>64</v>
      </c>
      <c r="B171" s="6">
        <v>45689</v>
      </c>
      <c r="C171" s="5" t="s">
        <v>15</v>
      </c>
      <c r="D171" s="5" t="s">
        <v>16</v>
      </c>
      <c r="E171" s="15">
        <v>32834.480000000003</v>
      </c>
      <c r="F171" s="5">
        <v>7576</v>
      </c>
      <c r="G171" s="5">
        <v>9.9000000000000005E-2</v>
      </c>
      <c r="H171" s="5">
        <v>15</v>
      </c>
      <c r="I171" s="5">
        <v>84.1</v>
      </c>
      <c r="J171" s="5">
        <v>3.48</v>
      </c>
      <c r="K171" s="5">
        <v>0</v>
      </c>
      <c r="L171" s="5">
        <v>5</v>
      </c>
      <c r="M171" s="15">
        <v>593637.14</v>
      </c>
      <c r="N171" s="5">
        <v>106648.14</v>
      </c>
    </row>
    <row r="172" spans="1:14">
      <c r="A172" s="5" t="s">
        <v>64</v>
      </c>
      <c r="B172" s="6">
        <v>45717</v>
      </c>
      <c r="C172" s="5" t="s">
        <v>15</v>
      </c>
      <c r="D172" s="5" t="s">
        <v>16</v>
      </c>
      <c r="E172" s="15">
        <v>50825.08</v>
      </c>
      <c r="F172" s="5">
        <v>8949</v>
      </c>
      <c r="G172" s="5">
        <v>0.157</v>
      </c>
      <c r="H172" s="5">
        <v>21</v>
      </c>
      <c r="I172" s="5">
        <v>84.7</v>
      </c>
      <c r="J172" s="5">
        <v>7.73</v>
      </c>
      <c r="K172" s="5">
        <v>0</v>
      </c>
      <c r="L172" s="5">
        <v>4.9000000000000004</v>
      </c>
      <c r="M172" s="15">
        <v>769702.76</v>
      </c>
      <c r="N172" s="5">
        <v>158697</v>
      </c>
    </row>
    <row r="173" spans="1:14">
      <c r="A173" s="5" t="s">
        <v>64</v>
      </c>
      <c r="B173" s="6">
        <v>45748</v>
      </c>
      <c r="C173" s="5" t="s">
        <v>15</v>
      </c>
      <c r="D173" s="5" t="s">
        <v>16</v>
      </c>
      <c r="E173" s="15">
        <v>36606.51</v>
      </c>
      <c r="F173" s="5">
        <v>7671</v>
      </c>
      <c r="G173" s="5">
        <v>0.11799999999999999</v>
      </c>
      <c r="H173" s="5">
        <v>18</v>
      </c>
      <c r="I173" s="5">
        <v>89.8</v>
      </c>
      <c r="J173" s="5">
        <v>0.25</v>
      </c>
      <c r="K173" s="5">
        <v>0</v>
      </c>
      <c r="L173" s="5">
        <v>4.4000000000000004</v>
      </c>
      <c r="M173" s="15">
        <v>679731.57</v>
      </c>
      <c r="N173" s="5">
        <v>121546.42</v>
      </c>
    </row>
    <row r="174" spans="1:14">
      <c r="A174" s="5" t="s">
        <v>65</v>
      </c>
      <c r="B174" s="6">
        <v>45658</v>
      </c>
      <c r="C174" s="5" t="s">
        <v>15</v>
      </c>
      <c r="D174" s="5" t="s">
        <v>16</v>
      </c>
      <c r="E174" s="15">
        <v>65237.79</v>
      </c>
      <c r="F174" s="5">
        <v>8741</v>
      </c>
      <c r="G174" s="5">
        <v>0.157</v>
      </c>
      <c r="H174" s="5">
        <v>20</v>
      </c>
      <c r="I174" s="5">
        <v>94.4</v>
      </c>
      <c r="J174" s="5">
        <v>6.43</v>
      </c>
      <c r="K174" s="5">
        <v>0</v>
      </c>
      <c r="L174" s="5">
        <v>3.3</v>
      </c>
      <c r="M174" s="15">
        <v>780344.18</v>
      </c>
      <c r="N174" s="5">
        <v>118239.09</v>
      </c>
    </row>
    <row r="175" spans="1:14">
      <c r="A175" s="5" t="s">
        <v>65</v>
      </c>
      <c r="B175" s="6">
        <v>45689</v>
      </c>
      <c r="C175" s="5" t="s">
        <v>15</v>
      </c>
      <c r="D175" s="5" t="s">
        <v>16</v>
      </c>
      <c r="E175" s="15">
        <v>43645.98</v>
      </c>
      <c r="F175" s="5">
        <v>9480</v>
      </c>
      <c r="G175" s="5">
        <v>0.109</v>
      </c>
      <c r="H175" s="5">
        <v>22</v>
      </c>
      <c r="I175" s="5">
        <v>89</v>
      </c>
      <c r="J175" s="5">
        <v>2.11</v>
      </c>
      <c r="K175" s="5">
        <v>0</v>
      </c>
      <c r="L175" s="5">
        <v>3.1</v>
      </c>
      <c r="M175" s="15">
        <v>721364.11</v>
      </c>
      <c r="N175" s="5">
        <v>147272.81</v>
      </c>
    </row>
    <row r="176" spans="1:14">
      <c r="A176" s="5" t="s">
        <v>65</v>
      </c>
      <c r="B176" s="6">
        <v>45717</v>
      </c>
      <c r="C176" s="5" t="s">
        <v>15</v>
      </c>
      <c r="D176" s="5" t="s">
        <v>16</v>
      </c>
      <c r="E176" s="15">
        <v>68040.149999999994</v>
      </c>
      <c r="F176" s="5">
        <v>9826</v>
      </c>
      <c r="G176" s="5">
        <v>0.125</v>
      </c>
      <c r="H176" s="5">
        <v>20</v>
      </c>
      <c r="I176" s="5">
        <v>83.9</v>
      </c>
      <c r="J176" s="5">
        <v>9.1199999999999992</v>
      </c>
      <c r="K176" s="5">
        <v>0</v>
      </c>
      <c r="L176" s="5">
        <v>3.6</v>
      </c>
      <c r="M176" s="15">
        <v>758138.29</v>
      </c>
      <c r="N176" s="5">
        <v>132975.26</v>
      </c>
    </row>
    <row r="177" spans="1:14">
      <c r="A177" s="5" t="s">
        <v>65</v>
      </c>
      <c r="B177" s="6">
        <v>45748</v>
      </c>
      <c r="C177" s="5" t="s">
        <v>15</v>
      </c>
      <c r="D177" s="5" t="s">
        <v>16</v>
      </c>
      <c r="E177" s="15">
        <v>63043.94</v>
      </c>
      <c r="F177" s="5">
        <v>10402</v>
      </c>
      <c r="G177" s="5">
        <v>0.159</v>
      </c>
      <c r="H177" s="5">
        <v>23</v>
      </c>
      <c r="I177" s="5">
        <v>93.9</v>
      </c>
      <c r="J177" s="5">
        <v>2.71</v>
      </c>
      <c r="K177" s="5">
        <v>0</v>
      </c>
      <c r="L177" s="5">
        <v>3.1</v>
      </c>
      <c r="M177" s="15">
        <v>804264</v>
      </c>
      <c r="N177" s="5">
        <v>167117.91</v>
      </c>
    </row>
    <row r="178" spans="1:14">
      <c r="A178" s="5" t="s">
        <v>66</v>
      </c>
      <c r="B178" s="6">
        <v>45658</v>
      </c>
      <c r="C178" s="5" t="s">
        <v>27</v>
      </c>
      <c r="D178" s="5" t="s">
        <v>21</v>
      </c>
      <c r="E178" s="15">
        <v>67494.09</v>
      </c>
      <c r="F178" s="5">
        <v>12361</v>
      </c>
      <c r="G178" s="5">
        <v>4.5999999999999999E-2</v>
      </c>
      <c r="H178" s="5">
        <v>24</v>
      </c>
      <c r="I178" s="5">
        <v>76.599999999999994</v>
      </c>
      <c r="J178" s="5">
        <v>3.65</v>
      </c>
      <c r="K178" s="5">
        <v>1</v>
      </c>
      <c r="L178" s="5">
        <v>3.7</v>
      </c>
      <c r="M178" s="15">
        <v>887537.75</v>
      </c>
      <c r="N178" s="5">
        <v>160362.92000000001</v>
      </c>
    </row>
    <row r="179" spans="1:14">
      <c r="A179" s="5" t="s">
        <v>66</v>
      </c>
      <c r="B179" s="6">
        <v>45689</v>
      </c>
      <c r="C179" s="5" t="s">
        <v>27</v>
      </c>
      <c r="D179" s="5" t="s">
        <v>21</v>
      </c>
      <c r="E179" s="15">
        <v>29389.32</v>
      </c>
      <c r="F179" s="5">
        <v>7925</v>
      </c>
      <c r="G179" s="5">
        <v>0.17699999999999999</v>
      </c>
      <c r="H179" s="5">
        <v>21</v>
      </c>
      <c r="I179" s="5">
        <v>90.9</v>
      </c>
      <c r="J179" s="5">
        <v>7.86</v>
      </c>
      <c r="K179" s="5">
        <v>0</v>
      </c>
      <c r="L179" s="5">
        <v>4</v>
      </c>
      <c r="M179" s="15">
        <v>783582</v>
      </c>
      <c r="N179" s="5">
        <v>130670.93</v>
      </c>
    </row>
    <row r="180" spans="1:14">
      <c r="A180" s="5" t="s">
        <v>66</v>
      </c>
      <c r="B180" s="6">
        <v>45717</v>
      </c>
      <c r="C180" s="5" t="s">
        <v>27</v>
      </c>
      <c r="D180" s="5" t="s">
        <v>21</v>
      </c>
      <c r="E180" s="15">
        <v>40535.089999999997</v>
      </c>
      <c r="F180" s="5">
        <v>8870</v>
      </c>
      <c r="G180" s="5">
        <v>4.1000000000000002E-2</v>
      </c>
      <c r="H180" s="5">
        <v>21</v>
      </c>
      <c r="I180" s="5">
        <v>86.6</v>
      </c>
      <c r="J180" s="5">
        <v>0.3</v>
      </c>
      <c r="K180" s="5">
        <v>0</v>
      </c>
      <c r="L180" s="5">
        <v>4.0999999999999996</v>
      </c>
      <c r="M180" s="15">
        <v>781955.52</v>
      </c>
      <c r="N180" s="5">
        <v>152578.71</v>
      </c>
    </row>
    <row r="181" spans="1:14">
      <c r="A181" s="5" t="s">
        <v>66</v>
      </c>
      <c r="B181" s="6">
        <v>45748</v>
      </c>
      <c r="C181" s="5" t="s">
        <v>27</v>
      </c>
      <c r="D181" s="5" t="s">
        <v>21</v>
      </c>
      <c r="E181" s="15">
        <v>74881.56</v>
      </c>
      <c r="F181" s="5">
        <v>9999</v>
      </c>
      <c r="G181" s="5">
        <v>1.2999999999999999E-2</v>
      </c>
      <c r="H181" s="5">
        <v>20</v>
      </c>
      <c r="I181" s="5">
        <v>89.6</v>
      </c>
      <c r="J181" s="5">
        <v>8.44</v>
      </c>
      <c r="K181" s="5">
        <v>0</v>
      </c>
      <c r="L181" s="5">
        <v>4.0999999999999996</v>
      </c>
      <c r="M181" s="15">
        <v>898031.04</v>
      </c>
      <c r="N181" s="5">
        <v>138666.5</v>
      </c>
    </row>
    <row r="182" spans="1:14">
      <c r="A182" s="5" t="s">
        <v>67</v>
      </c>
      <c r="B182" s="6">
        <v>45658</v>
      </c>
      <c r="C182" s="5" t="s">
        <v>27</v>
      </c>
      <c r="D182" s="5" t="s">
        <v>16</v>
      </c>
      <c r="E182" s="15">
        <v>68491.11</v>
      </c>
      <c r="F182" s="5">
        <v>11154</v>
      </c>
      <c r="G182" s="5">
        <v>1E-3</v>
      </c>
      <c r="H182" s="5">
        <v>24</v>
      </c>
      <c r="I182" s="5">
        <v>89.4</v>
      </c>
      <c r="J182" s="5">
        <v>5.27</v>
      </c>
      <c r="K182" s="5">
        <v>1</v>
      </c>
      <c r="L182" s="5">
        <v>3.9</v>
      </c>
      <c r="M182" s="15">
        <v>855341.28</v>
      </c>
      <c r="N182" s="5">
        <v>175823.8</v>
      </c>
    </row>
    <row r="183" spans="1:14">
      <c r="A183" s="5" t="s">
        <v>67</v>
      </c>
      <c r="B183" s="6">
        <v>45689</v>
      </c>
      <c r="C183" s="5" t="s">
        <v>27</v>
      </c>
      <c r="D183" s="5" t="s">
        <v>16</v>
      </c>
      <c r="E183" s="15">
        <v>45209.25</v>
      </c>
      <c r="F183" s="5">
        <v>9287</v>
      </c>
      <c r="G183" s="5">
        <v>0.14099999999999999</v>
      </c>
      <c r="H183" s="5">
        <v>22</v>
      </c>
      <c r="I183" s="5">
        <v>86.4</v>
      </c>
      <c r="J183" s="5">
        <v>13.22</v>
      </c>
      <c r="K183" s="5">
        <v>0</v>
      </c>
      <c r="L183" s="5">
        <v>3.6</v>
      </c>
      <c r="M183" s="15">
        <v>751393.88</v>
      </c>
      <c r="N183" s="5">
        <v>91480.320000000007</v>
      </c>
    </row>
    <row r="184" spans="1:14">
      <c r="A184" s="5" t="s">
        <v>67</v>
      </c>
      <c r="B184" s="6">
        <v>45717</v>
      </c>
      <c r="C184" s="5" t="s">
        <v>27</v>
      </c>
      <c r="D184" s="5" t="s">
        <v>16</v>
      </c>
      <c r="E184" s="15">
        <v>63010.23</v>
      </c>
      <c r="F184" s="5">
        <v>9812</v>
      </c>
      <c r="G184" s="5">
        <v>0.113</v>
      </c>
      <c r="H184" s="5">
        <v>24</v>
      </c>
      <c r="I184" s="5">
        <v>76.8</v>
      </c>
      <c r="J184" s="5">
        <v>1.02</v>
      </c>
      <c r="K184" s="5">
        <v>1</v>
      </c>
      <c r="L184" s="5">
        <v>3.8</v>
      </c>
      <c r="M184" s="15">
        <v>761077.08</v>
      </c>
      <c r="N184" s="5">
        <v>113605.93</v>
      </c>
    </row>
    <row r="185" spans="1:14">
      <c r="A185" s="5" t="s">
        <v>67</v>
      </c>
      <c r="B185" s="6">
        <v>45748</v>
      </c>
      <c r="C185" s="5" t="s">
        <v>27</v>
      </c>
      <c r="D185" s="5" t="s">
        <v>16</v>
      </c>
      <c r="E185" s="15">
        <v>57948.88</v>
      </c>
      <c r="F185" s="5">
        <v>10741</v>
      </c>
      <c r="G185" s="5">
        <v>7.0000000000000007E-2</v>
      </c>
      <c r="H185" s="5">
        <v>25</v>
      </c>
      <c r="I185" s="5">
        <v>90.1</v>
      </c>
      <c r="J185" s="5">
        <v>4.03</v>
      </c>
      <c r="K185" s="5">
        <v>0</v>
      </c>
      <c r="L185" s="5">
        <v>3.1</v>
      </c>
      <c r="M185" s="15">
        <v>819660.59</v>
      </c>
      <c r="N185" s="5">
        <v>172699.95</v>
      </c>
    </row>
    <row r="186" spans="1:14">
      <c r="A186" s="5" t="s">
        <v>68</v>
      </c>
      <c r="B186" s="6">
        <v>45658</v>
      </c>
      <c r="C186" s="5" t="s">
        <v>20</v>
      </c>
      <c r="D186" s="5" t="s">
        <v>18</v>
      </c>
      <c r="E186" s="15">
        <v>71941.62</v>
      </c>
      <c r="F186" s="5">
        <v>6084</v>
      </c>
      <c r="G186" s="5">
        <v>7.1999999999999995E-2</v>
      </c>
      <c r="H186" s="5">
        <v>13</v>
      </c>
      <c r="I186" s="5">
        <v>93.7</v>
      </c>
      <c r="J186" s="5">
        <v>2.34</v>
      </c>
      <c r="K186" s="5">
        <v>0</v>
      </c>
      <c r="L186" s="5">
        <v>4.4000000000000004</v>
      </c>
      <c r="M186" s="15">
        <v>681855.56</v>
      </c>
      <c r="N186" s="5">
        <v>117645.61</v>
      </c>
    </row>
    <row r="187" spans="1:14">
      <c r="A187" s="5" t="s">
        <v>68</v>
      </c>
      <c r="B187" s="6">
        <v>45689</v>
      </c>
      <c r="C187" s="5" t="s">
        <v>20</v>
      </c>
      <c r="D187" s="5" t="s">
        <v>18</v>
      </c>
      <c r="E187" s="15">
        <v>57147.88</v>
      </c>
      <c r="F187" s="5">
        <v>5252</v>
      </c>
      <c r="G187" s="5">
        <v>0.161</v>
      </c>
      <c r="H187" s="5">
        <v>15</v>
      </c>
      <c r="I187" s="5">
        <v>95.5</v>
      </c>
      <c r="J187" s="5">
        <v>8.51</v>
      </c>
      <c r="K187" s="5">
        <v>0</v>
      </c>
      <c r="L187" s="5">
        <v>4.4000000000000004</v>
      </c>
      <c r="M187" s="15">
        <v>678311.17</v>
      </c>
      <c r="N187" s="5">
        <v>132029.76000000001</v>
      </c>
    </row>
    <row r="188" spans="1:14">
      <c r="A188" s="5" t="s">
        <v>68</v>
      </c>
      <c r="B188" s="6">
        <v>45717</v>
      </c>
      <c r="C188" s="5" t="s">
        <v>20</v>
      </c>
      <c r="D188" s="5" t="s">
        <v>18</v>
      </c>
      <c r="E188" s="15">
        <v>48031.74</v>
      </c>
      <c r="F188" s="5">
        <v>6516</v>
      </c>
      <c r="G188" s="5">
        <v>6.7000000000000004E-2</v>
      </c>
      <c r="H188" s="5">
        <v>14</v>
      </c>
      <c r="I188" s="5">
        <v>99</v>
      </c>
      <c r="J188" s="5">
        <v>0.48</v>
      </c>
      <c r="K188" s="5">
        <v>1</v>
      </c>
      <c r="L188" s="5">
        <v>4.3</v>
      </c>
      <c r="M188" s="15">
        <v>765906.95</v>
      </c>
      <c r="N188" s="5">
        <v>114005.9</v>
      </c>
    </row>
    <row r="189" spans="1:14">
      <c r="A189" s="5" t="s">
        <v>68</v>
      </c>
      <c r="B189" s="6">
        <v>45748</v>
      </c>
      <c r="C189" s="5" t="s">
        <v>20</v>
      </c>
      <c r="D189" s="5" t="s">
        <v>18</v>
      </c>
      <c r="E189" s="15">
        <v>72784.800000000003</v>
      </c>
      <c r="F189" s="5">
        <v>7932</v>
      </c>
      <c r="G189" s="5">
        <v>9.4E-2</v>
      </c>
      <c r="H189" s="5">
        <v>20</v>
      </c>
      <c r="I189" s="5">
        <v>74.900000000000006</v>
      </c>
      <c r="J189" s="5">
        <v>13.62</v>
      </c>
      <c r="K189" s="5">
        <v>0</v>
      </c>
      <c r="L189" s="5">
        <v>4.2</v>
      </c>
      <c r="M189" s="15">
        <v>712546.38</v>
      </c>
      <c r="N189" s="5">
        <v>101480.04</v>
      </c>
    </row>
    <row r="190" spans="1:14">
      <c r="A190" s="5" t="s">
        <v>69</v>
      </c>
      <c r="B190" s="6">
        <v>45658</v>
      </c>
      <c r="C190" s="5" t="s">
        <v>15</v>
      </c>
      <c r="D190" s="5" t="s">
        <v>18</v>
      </c>
      <c r="E190" s="15">
        <v>71641.899999999994</v>
      </c>
      <c r="F190" s="5">
        <v>3506</v>
      </c>
      <c r="G190" s="5">
        <v>0</v>
      </c>
      <c r="H190" s="5">
        <v>11</v>
      </c>
      <c r="I190" s="5">
        <v>86.4</v>
      </c>
      <c r="J190" s="5">
        <v>7.77</v>
      </c>
      <c r="K190" s="5">
        <v>0</v>
      </c>
      <c r="L190" s="5">
        <v>4.0999999999999996</v>
      </c>
      <c r="M190" s="15">
        <v>625993.82999999996</v>
      </c>
      <c r="N190" s="5">
        <v>98960.320000000007</v>
      </c>
    </row>
    <row r="191" spans="1:14">
      <c r="A191" s="5" t="s">
        <v>69</v>
      </c>
      <c r="B191" s="6">
        <v>45689</v>
      </c>
      <c r="C191" s="5" t="s">
        <v>15</v>
      </c>
      <c r="D191" s="5" t="s">
        <v>18</v>
      </c>
      <c r="E191" s="15">
        <v>55788.61</v>
      </c>
      <c r="F191" s="5">
        <v>2312</v>
      </c>
      <c r="G191" s="5">
        <v>5.8000000000000003E-2</v>
      </c>
      <c r="H191" s="5">
        <v>10</v>
      </c>
      <c r="I191" s="5">
        <v>91.3</v>
      </c>
      <c r="J191" s="5">
        <v>1.99</v>
      </c>
      <c r="K191" s="5">
        <v>0</v>
      </c>
      <c r="L191" s="5">
        <v>3.8</v>
      </c>
      <c r="M191" s="15">
        <v>550962.93000000005</v>
      </c>
      <c r="N191" s="5">
        <v>97144.58</v>
      </c>
    </row>
    <row r="192" spans="1:14">
      <c r="A192" s="5" t="s">
        <v>69</v>
      </c>
      <c r="B192" s="6">
        <v>45717</v>
      </c>
      <c r="C192" s="5" t="s">
        <v>15</v>
      </c>
      <c r="D192" s="5" t="s">
        <v>18</v>
      </c>
      <c r="E192" s="15">
        <v>37705.879999999997</v>
      </c>
      <c r="F192" s="5">
        <v>1268</v>
      </c>
      <c r="G192" s="5">
        <v>0.25900000000000001</v>
      </c>
      <c r="H192" s="5">
        <v>9</v>
      </c>
      <c r="I192" s="5">
        <v>84.1</v>
      </c>
      <c r="J192" s="5">
        <v>4.7699999999999996</v>
      </c>
      <c r="K192" s="5">
        <v>0</v>
      </c>
      <c r="L192" s="5">
        <v>3.8</v>
      </c>
      <c r="M192" s="15">
        <v>443275.59</v>
      </c>
      <c r="N192" s="5">
        <v>53544.36</v>
      </c>
    </row>
    <row r="193" spans="1:14">
      <c r="A193" s="5" t="s">
        <v>69</v>
      </c>
      <c r="B193" s="6">
        <v>45748</v>
      </c>
      <c r="C193" s="5" t="s">
        <v>15</v>
      </c>
      <c r="D193" s="5" t="s">
        <v>18</v>
      </c>
      <c r="E193" s="15">
        <v>54966.18</v>
      </c>
      <c r="F193" s="5">
        <v>4423</v>
      </c>
      <c r="G193" s="5">
        <v>0.186</v>
      </c>
      <c r="H193" s="5">
        <v>13</v>
      </c>
      <c r="I193" s="5">
        <v>88.7</v>
      </c>
      <c r="J193" s="5">
        <v>0.2</v>
      </c>
      <c r="K193" s="5">
        <v>0</v>
      </c>
      <c r="L193" s="5">
        <v>4.4000000000000004</v>
      </c>
      <c r="M193" s="15">
        <v>554012.06999999995</v>
      </c>
      <c r="N193" s="5">
        <v>81101.62</v>
      </c>
    </row>
    <row r="194" spans="1:14">
      <c r="A194" s="5" t="s">
        <v>70</v>
      </c>
      <c r="B194" s="6">
        <v>45658</v>
      </c>
      <c r="C194" s="5" t="s">
        <v>27</v>
      </c>
      <c r="D194" s="5" t="s">
        <v>16</v>
      </c>
      <c r="E194" s="15">
        <v>81796.740000000005</v>
      </c>
      <c r="F194" s="5">
        <v>6177</v>
      </c>
      <c r="G194" s="5">
        <v>0.16400000000000001</v>
      </c>
      <c r="H194" s="5">
        <v>14</v>
      </c>
      <c r="I194" s="5">
        <v>87.9</v>
      </c>
      <c r="J194" s="5">
        <v>0.53</v>
      </c>
      <c r="K194" s="5">
        <v>0</v>
      </c>
      <c r="L194" s="5">
        <v>3.2</v>
      </c>
      <c r="M194" s="15">
        <v>643428.85</v>
      </c>
      <c r="N194" s="5">
        <v>94477.63</v>
      </c>
    </row>
    <row r="195" spans="1:14">
      <c r="A195" s="5" t="s">
        <v>70</v>
      </c>
      <c r="B195" s="6">
        <v>45689</v>
      </c>
      <c r="C195" s="5" t="s">
        <v>27</v>
      </c>
      <c r="D195" s="5" t="s">
        <v>16</v>
      </c>
      <c r="E195" s="15">
        <v>51133.43</v>
      </c>
      <c r="F195" s="5">
        <v>5150</v>
      </c>
      <c r="G195" s="5">
        <v>0.15</v>
      </c>
      <c r="H195" s="5">
        <v>12</v>
      </c>
      <c r="I195" s="5">
        <v>88.5</v>
      </c>
      <c r="J195" s="5">
        <v>1.54</v>
      </c>
      <c r="K195" s="5">
        <v>0</v>
      </c>
      <c r="L195" s="5">
        <v>3.2</v>
      </c>
      <c r="M195" s="15">
        <v>611924.27</v>
      </c>
      <c r="N195" s="5">
        <v>115488.75</v>
      </c>
    </row>
    <row r="196" spans="1:14">
      <c r="A196" s="5" t="s">
        <v>70</v>
      </c>
      <c r="B196" s="6">
        <v>45717</v>
      </c>
      <c r="C196" s="5" t="s">
        <v>27</v>
      </c>
      <c r="D196" s="5" t="s">
        <v>16</v>
      </c>
      <c r="E196" s="15">
        <v>40220.18</v>
      </c>
      <c r="F196" s="5">
        <v>3783</v>
      </c>
      <c r="G196" s="5">
        <v>8.8999999999999996E-2</v>
      </c>
      <c r="H196" s="5">
        <v>14</v>
      </c>
      <c r="I196" s="5">
        <v>86.6</v>
      </c>
      <c r="J196" s="5">
        <v>3.63</v>
      </c>
      <c r="K196" s="5">
        <v>0</v>
      </c>
      <c r="L196" s="5">
        <v>3.7</v>
      </c>
      <c r="M196" s="15">
        <v>559422.02</v>
      </c>
      <c r="N196" s="5">
        <v>73528.740000000005</v>
      </c>
    </row>
    <row r="197" spans="1:14">
      <c r="A197" s="5" t="s">
        <v>70</v>
      </c>
      <c r="B197" s="6">
        <v>45748</v>
      </c>
      <c r="C197" s="5" t="s">
        <v>27</v>
      </c>
      <c r="D197" s="5" t="s">
        <v>16</v>
      </c>
      <c r="E197" s="15">
        <v>41657.64</v>
      </c>
      <c r="F197" s="5">
        <v>3135</v>
      </c>
      <c r="G197" s="5">
        <v>0.22900000000000001</v>
      </c>
      <c r="H197" s="5">
        <v>7</v>
      </c>
      <c r="I197" s="5">
        <v>85.4</v>
      </c>
      <c r="J197" s="5">
        <v>13.48</v>
      </c>
      <c r="K197" s="5">
        <v>0</v>
      </c>
      <c r="L197" s="5">
        <v>3.9</v>
      </c>
      <c r="M197" s="15">
        <v>449465.06</v>
      </c>
      <c r="N197" s="5">
        <v>65694.78</v>
      </c>
    </row>
    <row r="198" spans="1:14">
      <c r="A198" s="5" t="s">
        <v>71</v>
      </c>
      <c r="B198" s="6">
        <v>45658</v>
      </c>
      <c r="C198" s="5" t="s">
        <v>20</v>
      </c>
      <c r="D198" s="5" t="s">
        <v>16</v>
      </c>
      <c r="E198" s="15">
        <v>71851.45</v>
      </c>
      <c r="F198" s="5">
        <v>4970</v>
      </c>
      <c r="G198" s="5">
        <v>9.8000000000000004E-2</v>
      </c>
      <c r="H198" s="5">
        <v>11</v>
      </c>
      <c r="I198" s="5">
        <v>89.6</v>
      </c>
      <c r="J198" s="5">
        <v>0.2</v>
      </c>
      <c r="K198" s="5">
        <v>0</v>
      </c>
      <c r="L198" s="5">
        <v>4.2</v>
      </c>
      <c r="M198" s="15">
        <v>691447.43</v>
      </c>
      <c r="N198" s="5">
        <v>114077.69</v>
      </c>
    </row>
    <row r="199" spans="1:14">
      <c r="A199" s="5" t="s">
        <v>71</v>
      </c>
      <c r="B199" s="6">
        <v>45689</v>
      </c>
      <c r="C199" s="5" t="s">
        <v>20</v>
      </c>
      <c r="D199" s="5" t="s">
        <v>16</v>
      </c>
      <c r="E199" s="15">
        <v>54002.83</v>
      </c>
      <c r="F199" s="5">
        <v>4366</v>
      </c>
      <c r="G199" s="5">
        <v>2.7E-2</v>
      </c>
      <c r="H199" s="5">
        <v>15</v>
      </c>
      <c r="I199" s="5">
        <v>90.6</v>
      </c>
      <c r="J199" s="5">
        <v>12.82</v>
      </c>
      <c r="K199" s="5">
        <v>0</v>
      </c>
      <c r="L199" s="5">
        <v>4.5999999999999996</v>
      </c>
      <c r="M199" s="15">
        <v>574066.61</v>
      </c>
      <c r="N199" s="5">
        <v>124674.67</v>
      </c>
    </row>
    <row r="200" spans="1:14">
      <c r="A200" s="5" t="s">
        <v>71</v>
      </c>
      <c r="B200" s="6">
        <v>45717</v>
      </c>
      <c r="C200" s="5" t="s">
        <v>20</v>
      </c>
      <c r="D200" s="5" t="s">
        <v>16</v>
      </c>
      <c r="E200" s="15">
        <v>54479.33</v>
      </c>
      <c r="F200" s="5">
        <v>5012</v>
      </c>
      <c r="G200" s="5">
        <v>0.28399999999999997</v>
      </c>
      <c r="H200" s="5">
        <v>13</v>
      </c>
      <c r="I200" s="5">
        <v>86</v>
      </c>
      <c r="J200" s="5">
        <v>2.2400000000000002</v>
      </c>
      <c r="K200" s="5">
        <v>1</v>
      </c>
      <c r="L200" s="5">
        <v>4.3</v>
      </c>
      <c r="M200" s="15">
        <v>578949.84</v>
      </c>
      <c r="N200" s="5">
        <v>80253.649999999994</v>
      </c>
    </row>
    <row r="201" spans="1:14">
      <c r="A201" s="5" t="s">
        <v>71</v>
      </c>
      <c r="B201" s="6">
        <v>45748</v>
      </c>
      <c r="C201" s="5" t="s">
        <v>20</v>
      </c>
      <c r="D201" s="5" t="s">
        <v>16</v>
      </c>
      <c r="E201" s="15">
        <v>61391.8</v>
      </c>
      <c r="F201" s="5">
        <v>5575</v>
      </c>
      <c r="G201" s="5">
        <v>0.189</v>
      </c>
      <c r="H201" s="5">
        <v>18</v>
      </c>
      <c r="I201" s="5">
        <v>90</v>
      </c>
      <c r="J201" s="5">
        <v>1.8</v>
      </c>
      <c r="K201" s="5">
        <v>0</v>
      </c>
      <c r="L201" s="5">
        <v>4.8</v>
      </c>
      <c r="M201" s="15">
        <v>735786.64</v>
      </c>
      <c r="N201" s="5">
        <v>126540.66</v>
      </c>
    </row>
    <row r="202" spans="1:14">
      <c r="A202" s="5" t="s">
        <v>72</v>
      </c>
      <c r="B202" s="6">
        <v>45658</v>
      </c>
      <c r="C202" s="5" t="s">
        <v>15</v>
      </c>
      <c r="D202" s="5" t="s">
        <v>21</v>
      </c>
      <c r="E202" s="15">
        <v>22312.93</v>
      </c>
      <c r="F202" s="5">
        <v>5955</v>
      </c>
      <c r="G202" s="5">
        <v>0.123</v>
      </c>
      <c r="H202" s="5">
        <v>13</v>
      </c>
      <c r="I202" s="5">
        <v>84.2</v>
      </c>
      <c r="J202" s="5">
        <v>0.41</v>
      </c>
      <c r="K202" s="5">
        <v>1</v>
      </c>
      <c r="L202" s="5">
        <v>4.5999999999999996</v>
      </c>
      <c r="M202" s="15">
        <v>598904.9</v>
      </c>
      <c r="N202" s="5">
        <v>72861</v>
      </c>
    </row>
    <row r="203" spans="1:14">
      <c r="A203" s="5" t="s">
        <v>72</v>
      </c>
      <c r="B203" s="6">
        <v>45689</v>
      </c>
      <c r="C203" s="5" t="s">
        <v>15</v>
      </c>
      <c r="D203" s="5" t="s">
        <v>21</v>
      </c>
      <c r="E203" s="15">
        <v>78111.97</v>
      </c>
      <c r="F203" s="5">
        <v>6389</v>
      </c>
      <c r="G203" s="5">
        <v>0.15</v>
      </c>
      <c r="H203" s="5">
        <v>13</v>
      </c>
      <c r="I203" s="5">
        <v>83.9</v>
      </c>
      <c r="J203" s="5">
        <v>3.05</v>
      </c>
      <c r="K203" s="5">
        <v>0</v>
      </c>
      <c r="L203" s="5">
        <v>4.8</v>
      </c>
      <c r="M203" s="15">
        <v>787715.51</v>
      </c>
      <c r="N203" s="5">
        <v>128969.62</v>
      </c>
    </row>
    <row r="204" spans="1:14">
      <c r="A204" s="5" t="s">
        <v>72</v>
      </c>
      <c r="B204" s="6">
        <v>45717</v>
      </c>
      <c r="C204" s="5" t="s">
        <v>15</v>
      </c>
      <c r="D204" s="5" t="s">
        <v>21</v>
      </c>
      <c r="E204" s="15">
        <v>35203.230000000003</v>
      </c>
      <c r="F204" s="5">
        <v>6896</v>
      </c>
      <c r="G204" s="5">
        <v>3.2000000000000001E-2</v>
      </c>
      <c r="H204" s="5">
        <v>14</v>
      </c>
      <c r="I204" s="5">
        <v>80.8</v>
      </c>
      <c r="J204" s="5">
        <v>8.44</v>
      </c>
      <c r="K204" s="5">
        <v>1</v>
      </c>
      <c r="L204" s="5">
        <v>5</v>
      </c>
      <c r="M204" s="15">
        <v>607084.92000000004</v>
      </c>
      <c r="N204" s="5">
        <v>98558.49</v>
      </c>
    </row>
    <row r="205" spans="1:14">
      <c r="A205" s="5" t="s">
        <v>72</v>
      </c>
      <c r="B205" s="6">
        <v>45748</v>
      </c>
      <c r="C205" s="5" t="s">
        <v>15</v>
      </c>
      <c r="D205" s="5" t="s">
        <v>21</v>
      </c>
      <c r="E205" s="15">
        <v>64104.28</v>
      </c>
      <c r="F205" s="5">
        <v>6015</v>
      </c>
      <c r="G205" s="5">
        <v>0.127</v>
      </c>
      <c r="H205" s="5">
        <v>15</v>
      </c>
      <c r="I205" s="5">
        <v>88.7</v>
      </c>
      <c r="J205" s="5">
        <v>0.78</v>
      </c>
      <c r="K205" s="5">
        <v>0</v>
      </c>
      <c r="L205" s="5">
        <v>4</v>
      </c>
      <c r="M205" s="15">
        <v>650795.49</v>
      </c>
      <c r="N205" s="5">
        <v>103035.89</v>
      </c>
    </row>
    <row r="206" spans="1:14">
      <c r="A206" s="5" t="s">
        <v>73</v>
      </c>
      <c r="B206" s="6">
        <v>45658</v>
      </c>
      <c r="C206" s="5" t="s">
        <v>15</v>
      </c>
      <c r="D206" s="5" t="s">
        <v>28</v>
      </c>
      <c r="E206" s="15">
        <v>92090.14</v>
      </c>
      <c r="F206" s="5">
        <v>9476</v>
      </c>
      <c r="G206" s="5">
        <v>7.0000000000000007E-2</v>
      </c>
      <c r="H206" s="5">
        <v>24</v>
      </c>
      <c r="I206" s="5">
        <v>94.3</v>
      </c>
      <c r="J206" s="5">
        <v>0.87</v>
      </c>
      <c r="K206" s="5">
        <v>0</v>
      </c>
      <c r="L206" s="5">
        <v>3.7</v>
      </c>
      <c r="M206" s="15">
        <v>825060.52</v>
      </c>
      <c r="N206" s="5">
        <v>143613.15</v>
      </c>
    </row>
    <row r="207" spans="1:14">
      <c r="A207" s="5" t="s">
        <v>73</v>
      </c>
      <c r="B207" s="6">
        <v>45689</v>
      </c>
      <c r="C207" s="5" t="s">
        <v>15</v>
      </c>
      <c r="D207" s="5" t="s">
        <v>28</v>
      </c>
      <c r="E207" s="15">
        <v>54300.87</v>
      </c>
      <c r="F207" s="5">
        <v>7875</v>
      </c>
      <c r="G207" s="5">
        <v>0.107</v>
      </c>
      <c r="H207" s="5">
        <v>19</v>
      </c>
      <c r="I207" s="5">
        <v>94.1</v>
      </c>
      <c r="J207" s="5">
        <v>0.95</v>
      </c>
      <c r="K207" s="5">
        <v>0</v>
      </c>
      <c r="L207" s="5">
        <v>3.7</v>
      </c>
      <c r="M207" s="15">
        <v>795464.47</v>
      </c>
      <c r="N207" s="5">
        <v>161150.51999999999</v>
      </c>
    </row>
    <row r="208" spans="1:14">
      <c r="A208" s="5" t="s">
        <v>73</v>
      </c>
      <c r="B208" s="6">
        <v>45717</v>
      </c>
      <c r="C208" s="5" t="s">
        <v>15</v>
      </c>
      <c r="D208" s="5" t="s">
        <v>28</v>
      </c>
      <c r="E208" s="15">
        <v>37983.35</v>
      </c>
      <c r="F208" s="5">
        <v>9283</v>
      </c>
      <c r="G208" s="5">
        <v>0.14899999999999999</v>
      </c>
      <c r="H208" s="5">
        <v>19</v>
      </c>
      <c r="I208" s="5">
        <v>83.2</v>
      </c>
      <c r="J208" s="5">
        <v>3.82</v>
      </c>
      <c r="K208" s="5">
        <v>0</v>
      </c>
      <c r="L208" s="5">
        <v>3.7</v>
      </c>
      <c r="M208" s="15">
        <v>671868.59</v>
      </c>
      <c r="N208" s="5">
        <v>71003.28</v>
      </c>
    </row>
    <row r="209" spans="1:14">
      <c r="A209" s="5" t="s">
        <v>73</v>
      </c>
      <c r="B209" s="6">
        <v>45748</v>
      </c>
      <c r="C209" s="5" t="s">
        <v>15</v>
      </c>
      <c r="D209" s="5" t="s">
        <v>28</v>
      </c>
      <c r="E209" s="15">
        <v>56413.83</v>
      </c>
      <c r="F209" s="5">
        <v>8303</v>
      </c>
      <c r="G209" s="5">
        <v>0.11600000000000001</v>
      </c>
      <c r="H209" s="5">
        <v>18</v>
      </c>
      <c r="I209" s="5">
        <v>93.6</v>
      </c>
      <c r="J209" s="5">
        <v>2.7</v>
      </c>
      <c r="K209" s="5">
        <v>0</v>
      </c>
      <c r="L209" s="5">
        <v>3.7</v>
      </c>
      <c r="M209" s="15">
        <v>675917.63</v>
      </c>
      <c r="N209" s="5">
        <v>112564.75</v>
      </c>
    </row>
    <row r="210" spans="1:14">
      <c r="A210" s="5" t="s">
        <v>74</v>
      </c>
      <c r="B210" s="6">
        <v>45658</v>
      </c>
      <c r="C210" s="5" t="s">
        <v>15</v>
      </c>
      <c r="D210" s="5" t="s">
        <v>18</v>
      </c>
      <c r="E210" s="15">
        <v>63457.19</v>
      </c>
      <c r="F210" s="5">
        <v>10125</v>
      </c>
      <c r="G210" s="5">
        <v>9.7000000000000003E-2</v>
      </c>
      <c r="H210" s="5">
        <v>24</v>
      </c>
      <c r="I210" s="5">
        <v>87</v>
      </c>
      <c r="J210" s="5">
        <v>3.84</v>
      </c>
      <c r="K210" s="5">
        <v>1</v>
      </c>
      <c r="L210" s="5">
        <v>3.7</v>
      </c>
      <c r="M210" s="15">
        <v>810446.53</v>
      </c>
      <c r="N210" s="5">
        <v>200575.34</v>
      </c>
    </row>
    <row r="211" spans="1:14">
      <c r="A211" s="5" t="s">
        <v>74</v>
      </c>
      <c r="B211" s="6">
        <v>45689</v>
      </c>
      <c r="C211" s="5" t="s">
        <v>15</v>
      </c>
      <c r="D211" s="5" t="s">
        <v>18</v>
      </c>
      <c r="E211" s="15">
        <v>62949.7</v>
      </c>
      <c r="F211" s="5">
        <v>9458</v>
      </c>
      <c r="G211" s="5">
        <v>0.17100000000000001</v>
      </c>
      <c r="H211" s="5">
        <v>19</v>
      </c>
      <c r="I211" s="5">
        <v>84.9</v>
      </c>
      <c r="J211" s="5">
        <v>5.09</v>
      </c>
      <c r="K211" s="5">
        <v>0</v>
      </c>
      <c r="L211" s="5">
        <v>3.3</v>
      </c>
      <c r="M211" s="15">
        <v>691288.19</v>
      </c>
      <c r="N211" s="5">
        <v>159074.14000000001</v>
      </c>
    </row>
    <row r="212" spans="1:14">
      <c r="A212" s="5" t="s">
        <v>74</v>
      </c>
      <c r="B212" s="6">
        <v>45717</v>
      </c>
      <c r="C212" s="5" t="s">
        <v>15</v>
      </c>
      <c r="D212" s="5" t="s">
        <v>18</v>
      </c>
      <c r="E212" s="15">
        <v>107970.19</v>
      </c>
      <c r="F212" s="5">
        <v>12870</v>
      </c>
      <c r="G212" s="5">
        <v>2.9000000000000001E-2</v>
      </c>
      <c r="H212" s="5">
        <v>31</v>
      </c>
      <c r="I212" s="5">
        <v>91.7</v>
      </c>
      <c r="J212" s="5">
        <v>3.82</v>
      </c>
      <c r="K212" s="5">
        <v>1</v>
      </c>
      <c r="L212" s="5">
        <v>3.7</v>
      </c>
      <c r="M212" s="15">
        <v>946833.54</v>
      </c>
      <c r="N212" s="5">
        <v>184540.31</v>
      </c>
    </row>
    <row r="213" spans="1:14">
      <c r="A213" s="5" t="s">
        <v>74</v>
      </c>
      <c r="B213" s="6">
        <v>45748</v>
      </c>
      <c r="C213" s="5" t="s">
        <v>15</v>
      </c>
      <c r="D213" s="5" t="s">
        <v>18</v>
      </c>
      <c r="E213" s="15">
        <v>49405.75</v>
      </c>
      <c r="F213" s="5">
        <v>9752</v>
      </c>
      <c r="G213" s="5">
        <v>9.2999999999999999E-2</v>
      </c>
      <c r="H213" s="5">
        <v>21</v>
      </c>
      <c r="I213" s="5">
        <v>87</v>
      </c>
      <c r="J213" s="5">
        <v>12.28</v>
      </c>
      <c r="K213" s="5">
        <v>0</v>
      </c>
      <c r="L213" s="5">
        <v>4.0999999999999996</v>
      </c>
      <c r="M213" s="15">
        <v>761963.23</v>
      </c>
      <c r="N213" s="5">
        <v>150113.60999999999</v>
      </c>
    </row>
    <row r="214" spans="1:14">
      <c r="A214" s="5" t="s">
        <v>75</v>
      </c>
      <c r="B214" s="6">
        <v>45658</v>
      </c>
      <c r="C214" s="5" t="s">
        <v>27</v>
      </c>
      <c r="D214" s="5" t="s">
        <v>16</v>
      </c>
      <c r="E214" s="15">
        <v>50887.46</v>
      </c>
      <c r="F214" s="5">
        <v>9505</v>
      </c>
      <c r="G214" s="5">
        <v>9.0999999999999998E-2</v>
      </c>
      <c r="H214" s="5">
        <v>25</v>
      </c>
      <c r="I214" s="5">
        <v>89.7</v>
      </c>
      <c r="J214" s="5">
        <v>2.8</v>
      </c>
      <c r="K214" s="5">
        <v>0</v>
      </c>
      <c r="L214" s="5">
        <v>4.3</v>
      </c>
      <c r="M214" s="15">
        <v>812152.6</v>
      </c>
      <c r="N214" s="5">
        <v>138419.43</v>
      </c>
    </row>
    <row r="215" spans="1:14">
      <c r="A215" s="5" t="s">
        <v>75</v>
      </c>
      <c r="B215" s="6">
        <v>45689</v>
      </c>
      <c r="C215" s="5" t="s">
        <v>27</v>
      </c>
      <c r="D215" s="5" t="s">
        <v>16</v>
      </c>
      <c r="E215" s="15">
        <v>41819.449999999997</v>
      </c>
      <c r="F215" s="5">
        <v>9412</v>
      </c>
      <c r="G215" s="5">
        <v>0.15</v>
      </c>
      <c r="H215" s="5">
        <v>22</v>
      </c>
      <c r="I215" s="5">
        <v>91</v>
      </c>
      <c r="J215" s="5">
        <v>3.67</v>
      </c>
      <c r="K215" s="5">
        <v>0</v>
      </c>
      <c r="L215" s="5">
        <v>4.2</v>
      </c>
      <c r="M215" s="15">
        <v>804975.5</v>
      </c>
      <c r="N215" s="5">
        <v>140054.5</v>
      </c>
    </row>
    <row r="216" spans="1:14">
      <c r="A216" s="5" t="s">
        <v>75</v>
      </c>
      <c r="B216" s="6">
        <v>45717</v>
      </c>
      <c r="C216" s="5" t="s">
        <v>27</v>
      </c>
      <c r="D216" s="5" t="s">
        <v>16</v>
      </c>
      <c r="E216" s="15">
        <v>35296.54</v>
      </c>
      <c r="F216" s="5">
        <v>9644</v>
      </c>
      <c r="G216" s="5">
        <v>0</v>
      </c>
      <c r="H216" s="5">
        <v>22</v>
      </c>
      <c r="I216" s="5">
        <v>88</v>
      </c>
      <c r="J216" s="5">
        <v>2.81</v>
      </c>
      <c r="K216" s="5">
        <v>0</v>
      </c>
      <c r="L216" s="5">
        <v>4.7</v>
      </c>
      <c r="M216" s="15">
        <v>752321.72</v>
      </c>
      <c r="N216" s="5">
        <v>137788.51</v>
      </c>
    </row>
    <row r="217" spans="1:14">
      <c r="A217" s="5" t="s">
        <v>75</v>
      </c>
      <c r="B217" s="6">
        <v>45748</v>
      </c>
      <c r="C217" s="5" t="s">
        <v>27</v>
      </c>
      <c r="D217" s="5" t="s">
        <v>16</v>
      </c>
      <c r="E217" s="15">
        <v>47391.09</v>
      </c>
      <c r="F217" s="5">
        <v>11224</v>
      </c>
      <c r="G217" s="5">
        <v>0.14699999999999999</v>
      </c>
      <c r="H217" s="5">
        <v>25</v>
      </c>
      <c r="I217" s="5">
        <v>88.4</v>
      </c>
      <c r="J217" s="5">
        <v>2.44</v>
      </c>
      <c r="K217" s="5">
        <v>0</v>
      </c>
      <c r="L217" s="5">
        <v>4.9000000000000004</v>
      </c>
      <c r="M217" s="15">
        <v>836908.24</v>
      </c>
      <c r="N217" s="5">
        <v>141090.26</v>
      </c>
    </row>
    <row r="218" spans="1:14">
      <c r="A218" s="5" t="s">
        <v>76</v>
      </c>
      <c r="B218" s="6">
        <v>45658</v>
      </c>
      <c r="C218" s="5" t="s">
        <v>20</v>
      </c>
      <c r="D218" s="5" t="s">
        <v>21</v>
      </c>
      <c r="E218" s="15">
        <v>69180.539999999994</v>
      </c>
      <c r="F218" s="5">
        <v>5394</v>
      </c>
      <c r="G218" s="5">
        <v>0.126</v>
      </c>
      <c r="H218" s="5">
        <v>12</v>
      </c>
      <c r="I218" s="5">
        <v>82.9</v>
      </c>
      <c r="J218" s="5">
        <v>3.27</v>
      </c>
      <c r="K218" s="5">
        <v>0</v>
      </c>
      <c r="L218" s="5">
        <v>3.3</v>
      </c>
      <c r="M218" s="15">
        <v>674289.1</v>
      </c>
      <c r="N218" s="5">
        <v>117773.79</v>
      </c>
    </row>
    <row r="219" spans="1:14">
      <c r="A219" s="5" t="s">
        <v>76</v>
      </c>
      <c r="B219" s="6">
        <v>45689</v>
      </c>
      <c r="C219" s="5" t="s">
        <v>20</v>
      </c>
      <c r="D219" s="5" t="s">
        <v>21</v>
      </c>
      <c r="E219" s="15">
        <v>33987.33</v>
      </c>
      <c r="F219" s="5">
        <v>5014</v>
      </c>
      <c r="G219" s="5">
        <v>0.246</v>
      </c>
      <c r="H219" s="5">
        <v>17</v>
      </c>
      <c r="I219" s="5">
        <v>94.3</v>
      </c>
      <c r="J219" s="5">
        <v>10.34</v>
      </c>
      <c r="K219" s="5">
        <v>0</v>
      </c>
      <c r="L219" s="5">
        <v>3.9</v>
      </c>
      <c r="M219" s="15">
        <v>622892.42000000004</v>
      </c>
      <c r="N219" s="5">
        <v>101032.52</v>
      </c>
    </row>
    <row r="220" spans="1:14">
      <c r="A220" s="5" t="s">
        <v>76</v>
      </c>
      <c r="B220" s="6">
        <v>45717</v>
      </c>
      <c r="C220" s="5" t="s">
        <v>20</v>
      </c>
      <c r="D220" s="5" t="s">
        <v>21</v>
      </c>
      <c r="E220" s="15">
        <v>58785.33</v>
      </c>
      <c r="F220" s="5">
        <v>4467</v>
      </c>
      <c r="G220" s="5">
        <v>0.22900000000000001</v>
      </c>
      <c r="H220" s="5">
        <v>14</v>
      </c>
      <c r="I220" s="5">
        <v>90.7</v>
      </c>
      <c r="J220" s="5">
        <v>1.92</v>
      </c>
      <c r="K220" s="5">
        <v>0</v>
      </c>
      <c r="L220" s="5">
        <v>3.7</v>
      </c>
      <c r="M220" s="15">
        <v>673348.56</v>
      </c>
      <c r="N220" s="5">
        <v>69464.59</v>
      </c>
    </row>
    <row r="221" spans="1:14">
      <c r="A221" s="5" t="s">
        <v>76</v>
      </c>
      <c r="B221" s="6">
        <v>45748</v>
      </c>
      <c r="C221" s="5" t="s">
        <v>20</v>
      </c>
      <c r="D221" s="5" t="s">
        <v>21</v>
      </c>
      <c r="E221" s="15">
        <v>16451.849999999999</v>
      </c>
      <c r="F221" s="5">
        <v>4678</v>
      </c>
      <c r="G221" s="5">
        <v>0.13300000000000001</v>
      </c>
      <c r="H221" s="5">
        <v>11</v>
      </c>
      <c r="I221" s="5">
        <v>95.9</v>
      </c>
      <c r="J221" s="5">
        <v>3.1</v>
      </c>
      <c r="K221" s="5">
        <v>0</v>
      </c>
      <c r="L221" s="5">
        <v>3.9</v>
      </c>
      <c r="M221" s="15">
        <v>606278.30000000005</v>
      </c>
      <c r="N221" s="5">
        <v>102213.26</v>
      </c>
    </row>
    <row r="222" spans="1:14">
      <c r="A222" s="5" t="s">
        <v>77</v>
      </c>
      <c r="B222" s="6">
        <v>45658</v>
      </c>
      <c r="C222" s="5" t="s">
        <v>15</v>
      </c>
      <c r="D222" s="5" t="s">
        <v>18</v>
      </c>
      <c r="E222" s="15">
        <v>53367.73</v>
      </c>
      <c r="F222" s="5">
        <v>7291</v>
      </c>
      <c r="G222" s="5">
        <v>0.14599999999999999</v>
      </c>
      <c r="H222" s="5">
        <v>18</v>
      </c>
      <c r="I222" s="5">
        <v>90.6</v>
      </c>
      <c r="J222" s="5">
        <v>6.34</v>
      </c>
      <c r="K222" s="5">
        <v>1</v>
      </c>
      <c r="L222" s="5">
        <v>3.8</v>
      </c>
      <c r="M222" s="15">
        <v>712219.81</v>
      </c>
      <c r="N222" s="5">
        <v>85906.54</v>
      </c>
    </row>
    <row r="223" spans="1:14">
      <c r="A223" s="5" t="s">
        <v>77</v>
      </c>
      <c r="B223" s="6">
        <v>45689</v>
      </c>
      <c r="C223" s="5" t="s">
        <v>15</v>
      </c>
      <c r="D223" s="5" t="s">
        <v>18</v>
      </c>
      <c r="E223" s="15">
        <v>27194.639999999999</v>
      </c>
      <c r="F223" s="5">
        <v>7404</v>
      </c>
      <c r="G223" s="5">
        <v>8.7999999999999995E-2</v>
      </c>
      <c r="H223" s="5">
        <v>18</v>
      </c>
      <c r="I223" s="5">
        <v>90.2</v>
      </c>
      <c r="J223" s="5">
        <v>1.2</v>
      </c>
      <c r="K223" s="5">
        <v>0</v>
      </c>
      <c r="L223" s="5">
        <v>3.4</v>
      </c>
      <c r="M223" s="15">
        <v>672670.54</v>
      </c>
      <c r="N223" s="5">
        <v>132684.18</v>
      </c>
    </row>
    <row r="224" spans="1:14">
      <c r="A224" s="5" t="s">
        <v>77</v>
      </c>
      <c r="B224" s="6">
        <v>45717</v>
      </c>
      <c r="C224" s="5" t="s">
        <v>15</v>
      </c>
      <c r="D224" s="5" t="s">
        <v>18</v>
      </c>
      <c r="E224" s="15">
        <v>66962.740000000005</v>
      </c>
      <c r="F224" s="5">
        <v>7880</v>
      </c>
      <c r="G224" s="5">
        <v>0.11600000000000001</v>
      </c>
      <c r="H224" s="5">
        <v>19</v>
      </c>
      <c r="I224" s="5">
        <v>90.4</v>
      </c>
      <c r="J224" s="5">
        <v>4.5</v>
      </c>
      <c r="K224" s="5">
        <v>0</v>
      </c>
      <c r="L224" s="5">
        <v>3.3</v>
      </c>
      <c r="M224" s="15">
        <v>732667.92</v>
      </c>
      <c r="N224" s="5">
        <v>128654.46</v>
      </c>
    </row>
    <row r="225" spans="1:14">
      <c r="A225" s="5" t="s">
        <v>77</v>
      </c>
      <c r="B225" s="6">
        <v>45748</v>
      </c>
      <c r="C225" s="5" t="s">
        <v>15</v>
      </c>
      <c r="D225" s="5" t="s">
        <v>18</v>
      </c>
      <c r="E225" s="15">
        <v>73540.990000000005</v>
      </c>
      <c r="F225" s="5">
        <v>8773</v>
      </c>
      <c r="G225" s="5">
        <v>3.5000000000000003E-2</v>
      </c>
      <c r="H225" s="5">
        <v>21</v>
      </c>
      <c r="I225" s="5">
        <v>84.4</v>
      </c>
      <c r="J225" s="5">
        <v>6.68</v>
      </c>
      <c r="K225" s="5">
        <v>0</v>
      </c>
      <c r="L225" s="5">
        <v>3.6</v>
      </c>
      <c r="M225" s="15">
        <v>723531.4</v>
      </c>
      <c r="N225" s="5">
        <v>108794.85</v>
      </c>
    </row>
    <row r="226" spans="1:14">
      <c r="A226" s="5" t="s">
        <v>78</v>
      </c>
      <c r="B226" s="6">
        <v>45658</v>
      </c>
      <c r="C226" s="5" t="s">
        <v>15</v>
      </c>
      <c r="D226" s="5" t="s">
        <v>28</v>
      </c>
      <c r="E226" s="15">
        <v>68212.289999999994</v>
      </c>
      <c r="F226" s="5">
        <v>4713</v>
      </c>
      <c r="G226" s="5">
        <v>0.19800000000000001</v>
      </c>
      <c r="H226" s="5">
        <v>15</v>
      </c>
      <c r="I226" s="5">
        <v>82.6</v>
      </c>
      <c r="J226" s="5">
        <v>4.07</v>
      </c>
      <c r="K226" s="5">
        <v>1</v>
      </c>
      <c r="L226" s="5">
        <v>3</v>
      </c>
      <c r="M226" s="15">
        <v>641564.6</v>
      </c>
      <c r="N226" s="5">
        <v>90468.96</v>
      </c>
    </row>
    <row r="227" spans="1:14">
      <c r="A227" s="5" t="s">
        <v>78</v>
      </c>
      <c r="B227" s="6">
        <v>45689</v>
      </c>
      <c r="C227" s="5" t="s">
        <v>15</v>
      </c>
      <c r="D227" s="5" t="s">
        <v>28</v>
      </c>
      <c r="E227" s="15">
        <v>57225.98</v>
      </c>
      <c r="F227" s="5">
        <v>2842</v>
      </c>
      <c r="G227" s="5">
        <v>0.112</v>
      </c>
      <c r="H227" s="5">
        <v>10</v>
      </c>
      <c r="I227" s="5">
        <v>79.5</v>
      </c>
      <c r="J227" s="5">
        <v>5.45</v>
      </c>
      <c r="K227" s="5">
        <v>0</v>
      </c>
      <c r="L227" s="5">
        <v>3.4</v>
      </c>
      <c r="M227" s="15">
        <v>536545.49</v>
      </c>
      <c r="N227" s="5">
        <v>97917.45</v>
      </c>
    </row>
    <row r="228" spans="1:14">
      <c r="A228" s="5" t="s">
        <v>78</v>
      </c>
      <c r="B228" s="6">
        <v>45717</v>
      </c>
      <c r="C228" s="5" t="s">
        <v>15</v>
      </c>
      <c r="D228" s="5" t="s">
        <v>28</v>
      </c>
      <c r="E228" s="15">
        <v>42932.02</v>
      </c>
      <c r="F228" s="5">
        <v>3872</v>
      </c>
      <c r="G228" s="5">
        <v>0.17100000000000001</v>
      </c>
      <c r="H228" s="5">
        <v>12</v>
      </c>
      <c r="I228" s="5">
        <v>83.2</v>
      </c>
      <c r="J228" s="5">
        <v>15.58</v>
      </c>
      <c r="K228" s="5">
        <v>0</v>
      </c>
      <c r="L228" s="5">
        <v>3.3</v>
      </c>
      <c r="M228" s="15">
        <v>527681.56000000006</v>
      </c>
      <c r="N228" s="5">
        <v>63153.05</v>
      </c>
    </row>
    <row r="229" spans="1:14">
      <c r="A229" s="5" t="s">
        <v>78</v>
      </c>
      <c r="B229" s="6">
        <v>45748</v>
      </c>
      <c r="C229" s="5" t="s">
        <v>15</v>
      </c>
      <c r="D229" s="5" t="s">
        <v>28</v>
      </c>
      <c r="E229" s="15">
        <v>39341.449999999997</v>
      </c>
      <c r="F229" s="5">
        <v>1375</v>
      </c>
      <c r="G229" s="5">
        <v>9.2999999999999999E-2</v>
      </c>
      <c r="H229" s="5">
        <v>5</v>
      </c>
      <c r="I229" s="5">
        <v>95</v>
      </c>
      <c r="J229" s="5">
        <v>5.32</v>
      </c>
      <c r="K229" s="5">
        <v>0</v>
      </c>
      <c r="L229" s="5">
        <v>3.9</v>
      </c>
      <c r="M229" s="15">
        <v>529598.93999999994</v>
      </c>
      <c r="N229" s="5">
        <v>84334.33</v>
      </c>
    </row>
    <row r="230" spans="1:14">
      <c r="A230" s="5" t="s">
        <v>79</v>
      </c>
      <c r="B230" s="6">
        <v>45658</v>
      </c>
      <c r="C230" s="5" t="s">
        <v>15</v>
      </c>
      <c r="D230" s="5" t="s">
        <v>18</v>
      </c>
      <c r="E230" s="15">
        <v>37324.230000000003</v>
      </c>
      <c r="F230" s="5">
        <v>5957</v>
      </c>
      <c r="G230" s="5">
        <v>7.0999999999999994E-2</v>
      </c>
      <c r="H230" s="5">
        <v>12</v>
      </c>
      <c r="I230" s="5">
        <v>85.9</v>
      </c>
      <c r="J230" s="5">
        <v>0.37</v>
      </c>
      <c r="K230" s="5">
        <v>0</v>
      </c>
      <c r="L230" s="5">
        <v>3.8</v>
      </c>
      <c r="M230" s="15">
        <v>570963.31000000006</v>
      </c>
      <c r="N230" s="5">
        <v>87342.25</v>
      </c>
    </row>
    <row r="231" spans="1:14">
      <c r="A231" s="5" t="s">
        <v>79</v>
      </c>
      <c r="B231" s="6">
        <v>45689</v>
      </c>
      <c r="C231" s="5" t="s">
        <v>15</v>
      </c>
      <c r="D231" s="5" t="s">
        <v>18</v>
      </c>
      <c r="E231" s="15">
        <v>113736</v>
      </c>
      <c r="F231" s="5">
        <v>8961</v>
      </c>
      <c r="G231" s="5">
        <v>0.20200000000000001</v>
      </c>
      <c r="H231" s="5">
        <v>24</v>
      </c>
      <c r="I231" s="5">
        <v>86.2</v>
      </c>
      <c r="J231" s="5">
        <v>21.63</v>
      </c>
      <c r="K231" s="5">
        <v>0</v>
      </c>
      <c r="L231" s="5">
        <v>4</v>
      </c>
      <c r="M231" s="15">
        <v>870937.4</v>
      </c>
      <c r="N231" s="5">
        <v>175282.74</v>
      </c>
    </row>
    <row r="232" spans="1:14">
      <c r="A232" s="5" t="s">
        <v>79</v>
      </c>
      <c r="B232" s="6">
        <v>45717</v>
      </c>
      <c r="C232" s="5" t="s">
        <v>15</v>
      </c>
      <c r="D232" s="5" t="s">
        <v>18</v>
      </c>
      <c r="E232" s="15">
        <v>33173.949999999997</v>
      </c>
      <c r="F232" s="5">
        <v>6545</v>
      </c>
      <c r="G232" s="5">
        <v>0.16900000000000001</v>
      </c>
      <c r="H232" s="5">
        <v>15</v>
      </c>
      <c r="I232" s="5">
        <v>84.4</v>
      </c>
      <c r="J232" s="5">
        <v>2.48</v>
      </c>
      <c r="K232" s="5">
        <v>0</v>
      </c>
      <c r="L232" s="5">
        <v>3.9</v>
      </c>
      <c r="M232" s="15">
        <v>596969.27</v>
      </c>
      <c r="N232" s="5">
        <v>105669.51</v>
      </c>
    </row>
    <row r="233" spans="1:14">
      <c r="A233" s="5" t="s">
        <v>79</v>
      </c>
      <c r="B233" s="6">
        <v>45748</v>
      </c>
      <c r="C233" s="5" t="s">
        <v>15</v>
      </c>
      <c r="D233" s="5" t="s">
        <v>18</v>
      </c>
      <c r="E233" s="15">
        <v>25818.080000000002</v>
      </c>
      <c r="F233" s="5">
        <v>5457</v>
      </c>
      <c r="G233" s="5">
        <v>0</v>
      </c>
      <c r="H233" s="5">
        <v>11</v>
      </c>
      <c r="I233" s="5">
        <v>95.4</v>
      </c>
      <c r="J233" s="5">
        <v>3.3650000000000002</v>
      </c>
      <c r="K233" s="5">
        <v>0</v>
      </c>
      <c r="L233" s="5">
        <v>3.7</v>
      </c>
      <c r="M233" s="15">
        <v>647512.85</v>
      </c>
      <c r="N233" s="5">
        <v>153835.57</v>
      </c>
    </row>
    <row r="234" spans="1:14">
      <c r="A234" s="5" t="s">
        <v>80</v>
      </c>
      <c r="B234" s="6">
        <v>45658</v>
      </c>
      <c r="C234" s="5" t="s">
        <v>27</v>
      </c>
      <c r="D234" s="5" t="s">
        <v>16</v>
      </c>
      <c r="E234" s="15">
        <v>47241.919999999998</v>
      </c>
      <c r="F234" s="5">
        <v>4264</v>
      </c>
      <c r="G234" s="5">
        <v>6.9000000000000006E-2</v>
      </c>
      <c r="H234" s="5">
        <v>13</v>
      </c>
      <c r="I234" s="5">
        <v>95.3</v>
      </c>
      <c r="J234" s="5">
        <v>0.85</v>
      </c>
      <c r="K234" s="5">
        <v>0</v>
      </c>
      <c r="L234" s="5">
        <v>4.3</v>
      </c>
      <c r="M234" s="15">
        <v>658072.14</v>
      </c>
      <c r="N234" s="5">
        <v>110595.89</v>
      </c>
    </row>
    <row r="235" spans="1:14">
      <c r="A235" s="5" t="s">
        <v>80</v>
      </c>
      <c r="B235" s="6">
        <v>45689</v>
      </c>
      <c r="C235" s="5" t="s">
        <v>27</v>
      </c>
      <c r="D235" s="5" t="s">
        <v>16</v>
      </c>
      <c r="E235" s="15">
        <v>61650.79</v>
      </c>
      <c r="F235" s="5">
        <v>5321</v>
      </c>
      <c r="G235" s="5">
        <v>0.126</v>
      </c>
      <c r="H235" s="5">
        <v>17</v>
      </c>
      <c r="I235" s="5">
        <v>89.2</v>
      </c>
      <c r="J235" s="5">
        <v>2.13</v>
      </c>
      <c r="K235" s="5">
        <v>0</v>
      </c>
      <c r="L235" s="5">
        <v>4</v>
      </c>
      <c r="M235" s="15">
        <v>723305.11</v>
      </c>
      <c r="N235" s="5">
        <v>128468.7</v>
      </c>
    </row>
    <row r="236" spans="1:14">
      <c r="A236" s="5" t="s">
        <v>80</v>
      </c>
      <c r="B236" s="6">
        <v>45717</v>
      </c>
      <c r="C236" s="5" t="s">
        <v>27</v>
      </c>
      <c r="D236" s="5" t="s">
        <v>16</v>
      </c>
      <c r="E236" s="15">
        <v>62582.71</v>
      </c>
      <c r="F236" s="5">
        <v>5479</v>
      </c>
      <c r="G236" s="5">
        <v>4.8000000000000001E-2</v>
      </c>
      <c r="H236" s="5">
        <v>16</v>
      </c>
      <c r="I236" s="5">
        <v>81.2</v>
      </c>
      <c r="J236" s="5">
        <v>1.46</v>
      </c>
      <c r="K236" s="5">
        <v>0</v>
      </c>
      <c r="L236" s="5">
        <v>4.5</v>
      </c>
      <c r="M236" s="15">
        <v>640666.53</v>
      </c>
      <c r="N236" s="5">
        <v>134919.16</v>
      </c>
    </row>
    <row r="237" spans="1:14">
      <c r="A237" s="5" t="s">
        <v>80</v>
      </c>
      <c r="B237" s="6">
        <v>45748</v>
      </c>
      <c r="C237" s="5" t="s">
        <v>27</v>
      </c>
      <c r="D237" s="5" t="s">
        <v>16</v>
      </c>
      <c r="E237" s="15">
        <v>47944.14</v>
      </c>
      <c r="F237" s="5">
        <v>6169</v>
      </c>
      <c r="G237" s="5">
        <v>0.11899999999999999</v>
      </c>
      <c r="H237" s="5">
        <v>17</v>
      </c>
      <c r="I237" s="5">
        <v>92.2</v>
      </c>
      <c r="J237" s="5">
        <v>3.02</v>
      </c>
      <c r="K237" s="5">
        <v>0</v>
      </c>
      <c r="L237" s="5">
        <v>4.0999999999999996</v>
      </c>
      <c r="M237" s="15">
        <v>670629.48</v>
      </c>
      <c r="N237" s="5">
        <v>100140.8</v>
      </c>
    </row>
    <row r="238" spans="1:14">
      <c r="A238" s="5" t="s">
        <v>81</v>
      </c>
      <c r="B238" s="6">
        <v>45658</v>
      </c>
      <c r="C238" s="5" t="s">
        <v>27</v>
      </c>
      <c r="D238" s="5" t="s">
        <v>28</v>
      </c>
      <c r="E238" s="15">
        <v>46495.4</v>
      </c>
      <c r="F238" s="5">
        <v>9908</v>
      </c>
      <c r="G238" s="5">
        <v>0.121</v>
      </c>
      <c r="H238" s="5">
        <v>22</v>
      </c>
      <c r="I238" s="5">
        <v>89.4</v>
      </c>
      <c r="J238" s="5">
        <v>3.22</v>
      </c>
      <c r="K238" s="5">
        <v>0</v>
      </c>
      <c r="L238" s="5">
        <v>3.7</v>
      </c>
      <c r="M238" s="15">
        <v>721079.35</v>
      </c>
      <c r="N238" s="5">
        <v>115295.05</v>
      </c>
    </row>
    <row r="239" spans="1:14">
      <c r="A239" s="5" t="s">
        <v>81</v>
      </c>
      <c r="B239" s="6">
        <v>45689</v>
      </c>
      <c r="C239" s="5" t="s">
        <v>27</v>
      </c>
      <c r="D239" s="5" t="s">
        <v>28</v>
      </c>
      <c r="E239" s="15">
        <v>72961.95</v>
      </c>
      <c r="F239" s="5">
        <v>9996</v>
      </c>
      <c r="G239" s="5">
        <v>0.106</v>
      </c>
      <c r="H239" s="5">
        <v>22</v>
      </c>
      <c r="I239" s="5">
        <v>89.1</v>
      </c>
      <c r="J239" s="5">
        <v>15.66</v>
      </c>
      <c r="K239" s="5">
        <v>0</v>
      </c>
      <c r="L239" s="5">
        <v>3.4</v>
      </c>
      <c r="M239" s="15">
        <v>810355.02</v>
      </c>
      <c r="N239" s="5">
        <v>131510</v>
      </c>
    </row>
    <row r="240" spans="1:14">
      <c r="A240" s="5" t="s">
        <v>81</v>
      </c>
      <c r="B240" s="6">
        <v>45717</v>
      </c>
      <c r="C240" s="5" t="s">
        <v>27</v>
      </c>
      <c r="D240" s="5" t="s">
        <v>28</v>
      </c>
      <c r="E240" s="15">
        <v>59060.05</v>
      </c>
      <c r="F240" s="5">
        <v>9702</v>
      </c>
      <c r="G240" s="5">
        <v>0.20100000000000001</v>
      </c>
      <c r="H240" s="5">
        <v>23</v>
      </c>
      <c r="I240" s="5">
        <v>80.900000000000006</v>
      </c>
      <c r="J240" s="5">
        <v>6.96</v>
      </c>
      <c r="K240" s="5">
        <v>0</v>
      </c>
      <c r="L240" s="5">
        <v>3.2</v>
      </c>
      <c r="M240" s="15">
        <v>761919.25</v>
      </c>
      <c r="N240" s="5">
        <v>111893.06</v>
      </c>
    </row>
    <row r="241" spans="1:14">
      <c r="A241" s="5" t="s">
        <v>81</v>
      </c>
      <c r="B241" s="6">
        <v>45748</v>
      </c>
      <c r="C241" s="5" t="s">
        <v>27</v>
      </c>
      <c r="D241" s="5" t="s">
        <v>28</v>
      </c>
      <c r="E241" s="15">
        <v>26248.1</v>
      </c>
      <c r="F241" s="5">
        <v>9314</v>
      </c>
      <c r="G241" s="5">
        <v>0.186</v>
      </c>
      <c r="H241" s="5">
        <v>21</v>
      </c>
      <c r="I241" s="5">
        <v>83.7</v>
      </c>
      <c r="J241" s="5">
        <v>4.62</v>
      </c>
      <c r="K241" s="5">
        <v>0</v>
      </c>
      <c r="L241" s="5">
        <v>3.3</v>
      </c>
      <c r="M241" s="15">
        <v>737070.18</v>
      </c>
      <c r="N241" s="5">
        <v>117593.97</v>
      </c>
    </row>
    <row r="242" spans="1:14">
      <c r="A242" s="5" t="s">
        <v>82</v>
      </c>
      <c r="B242" s="6">
        <v>45658</v>
      </c>
      <c r="C242" s="5" t="s">
        <v>24</v>
      </c>
      <c r="D242" s="5" t="s">
        <v>21</v>
      </c>
      <c r="E242" s="15">
        <v>69900.12</v>
      </c>
      <c r="F242" s="5">
        <v>8055</v>
      </c>
      <c r="G242" s="5">
        <v>0.28100000000000003</v>
      </c>
      <c r="H242" s="5">
        <v>22</v>
      </c>
      <c r="I242" s="5">
        <v>85.6</v>
      </c>
      <c r="J242" s="5">
        <v>10.68</v>
      </c>
      <c r="K242" s="5">
        <v>1</v>
      </c>
      <c r="L242" s="5">
        <v>2.9</v>
      </c>
      <c r="M242" s="15">
        <v>776992.93</v>
      </c>
      <c r="N242" s="5">
        <v>101598.32</v>
      </c>
    </row>
    <row r="243" spans="1:14">
      <c r="A243" s="5" t="s">
        <v>82</v>
      </c>
      <c r="B243" s="6">
        <v>45689</v>
      </c>
      <c r="C243" s="5" t="s">
        <v>24</v>
      </c>
      <c r="D243" s="5" t="s">
        <v>21</v>
      </c>
      <c r="E243" s="15">
        <v>51781.599999999999</v>
      </c>
      <c r="F243" s="5">
        <v>5648</v>
      </c>
      <c r="G243" s="5">
        <v>5.8999999999999997E-2</v>
      </c>
      <c r="H243" s="5">
        <v>13</v>
      </c>
      <c r="I243" s="5">
        <v>85.5</v>
      </c>
      <c r="J243" s="5">
        <v>4.04</v>
      </c>
      <c r="K243" s="5">
        <v>0</v>
      </c>
      <c r="L243" s="5">
        <v>3.7</v>
      </c>
      <c r="M243" s="15">
        <v>676337.41</v>
      </c>
      <c r="N243" s="5">
        <v>104355.77</v>
      </c>
    </row>
    <row r="244" spans="1:14">
      <c r="A244" s="5" t="s">
        <v>82</v>
      </c>
      <c r="B244" s="6">
        <v>45717</v>
      </c>
      <c r="C244" s="5" t="s">
        <v>24</v>
      </c>
      <c r="D244" s="5" t="s">
        <v>21</v>
      </c>
      <c r="E244" s="15">
        <v>70799.64</v>
      </c>
      <c r="F244" s="5">
        <v>10076</v>
      </c>
      <c r="G244" s="5">
        <v>0.152</v>
      </c>
      <c r="H244" s="5">
        <v>24</v>
      </c>
      <c r="I244" s="5">
        <v>84.8</v>
      </c>
      <c r="J244" s="5">
        <v>1.87</v>
      </c>
      <c r="K244" s="5">
        <v>0</v>
      </c>
      <c r="L244" s="5">
        <v>3.5</v>
      </c>
      <c r="M244" s="15">
        <v>828219.67</v>
      </c>
      <c r="N244" s="5">
        <v>179806.87</v>
      </c>
    </row>
    <row r="245" spans="1:14">
      <c r="A245" s="5" t="s">
        <v>82</v>
      </c>
      <c r="B245" s="6">
        <v>45748</v>
      </c>
      <c r="C245" s="5" t="s">
        <v>24</v>
      </c>
      <c r="D245" s="5" t="s">
        <v>21</v>
      </c>
      <c r="E245" s="15">
        <v>53546.34</v>
      </c>
      <c r="F245" s="5">
        <v>8004</v>
      </c>
      <c r="G245" s="5">
        <v>0</v>
      </c>
      <c r="H245" s="5">
        <v>21</v>
      </c>
      <c r="I245" s="5">
        <v>95.2</v>
      </c>
      <c r="J245" s="5">
        <v>2.83</v>
      </c>
      <c r="K245" s="5">
        <v>0</v>
      </c>
      <c r="L245" s="5">
        <v>3</v>
      </c>
      <c r="M245" s="15">
        <v>763159.92</v>
      </c>
      <c r="N245" s="5">
        <v>177104.87</v>
      </c>
    </row>
    <row r="246" spans="1:14">
      <c r="A246" s="5" t="s">
        <v>83</v>
      </c>
      <c r="B246" s="6">
        <v>45658</v>
      </c>
      <c r="C246" s="5" t="s">
        <v>15</v>
      </c>
      <c r="D246" s="5" t="s">
        <v>18</v>
      </c>
      <c r="E246" s="15">
        <v>76942.2</v>
      </c>
      <c r="F246" s="5">
        <v>8934</v>
      </c>
      <c r="G246" s="5">
        <v>8.4000000000000005E-2</v>
      </c>
      <c r="H246" s="5">
        <v>20</v>
      </c>
      <c r="I246" s="5">
        <v>91</v>
      </c>
      <c r="J246" s="5">
        <v>0.95</v>
      </c>
      <c r="K246" s="5">
        <v>0</v>
      </c>
      <c r="L246" s="5">
        <v>3.2</v>
      </c>
      <c r="M246" s="15">
        <v>802001.68</v>
      </c>
      <c r="N246" s="5">
        <v>159715.82</v>
      </c>
    </row>
    <row r="247" spans="1:14">
      <c r="A247" s="5" t="s">
        <v>83</v>
      </c>
      <c r="B247" s="6">
        <v>45689</v>
      </c>
      <c r="C247" s="5" t="s">
        <v>15</v>
      </c>
      <c r="D247" s="5" t="s">
        <v>18</v>
      </c>
      <c r="E247" s="15">
        <v>48060.78</v>
      </c>
      <c r="F247" s="5">
        <v>8733</v>
      </c>
      <c r="G247" s="5">
        <v>0</v>
      </c>
      <c r="H247" s="5">
        <v>20</v>
      </c>
      <c r="I247" s="5">
        <v>89.9</v>
      </c>
      <c r="J247" s="5">
        <v>0.8</v>
      </c>
      <c r="K247" s="5">
        <v>0</v>
      </c>
      <c r="L247" s="5">
        <v>3.4</v>
      </c>
      <c r="M247" s="15">
        <v>750471.34</v>
      </c>
      <c r="N247" s="5">
        <v>133788.04</v>
      </c>
    </row>
    <row r="248" spans="1:14">
      <c r="A248" s="5" t="s">
        <v>83</v>
      </c>
      <c r="B248" s="6">
        <v>45717</v>
      </c>
      <c r="C248" s="5" t="s">
        <v>15</v>
      </c>
      <c r="D248" s="5" t="s">
        <v>18</v>
      </c>
      <c r="E248" s="15">
        <v>57390.04</v>
      </c>
      <c r="F248" s="5">
        <v>7374</v>
      </c>
      <c r="G248" s="5">
        <v>0.21</v>
      </c>
      <c r="H248" s="5">
        <v>21</v>
      </c>
      <c r="I248" s="5">
        <v>91.8</v>
      </c>
      <c r="J248" s="5">
        <v>0.2</v>
      </c>
      <c r="K248" s="5">
        <v>0</v>
      </c>
      <c r="L248" s="5">
        <v>3.1</v>
      </c>
      <c r="M248" s="15">
        <v>679230.86</v>
      </c>
      <c r="N248" s="5">
        <v>106927.58</v>
      </c>
    </row>
    <row r="249" spans="1:14">
      <c r="A249" s="5" t="s">
        <v>83</v>
      </c>
      <c r="B249" s="6">
        <v>45748</v>
      </c>
      <c r="C249" s="5" t="s">
        <v>15</v>
      </c>
      <c r="D249" s="5" t="s">
        <v>18</v>
      </c>
      <c r="E249" s="15">
        <v>21536.18</v>
      </c>
      <c r="F249" s="5">
        <v>8119</v>
      </c>
      <c r="G249" s="5">
        <v>0.22700000000000001</v>
      </c>
      <c r="H249" s="5">
        <v>20</v>
      </c>
      <c r="I249" s="5">
        <v>90.4</v>
      </c>
      <c r="J249" s="5">
        <v>1.7</v>
      </c>
      <c r="K249" s="5">
        <v>0</v>
      </c>
      <c r="L249" s="5">
        <v>3.3</v>
      </c>
      <c r="M249" s="15">
        <v>679888.74</v>
      </c>
      <c r="N249" s="5">
        <v>83406.89</v>
      </c>
    </row>
    <row r="250" spans="1:14">
      <c r="A250" s="5" t="s">
        <v>84</v>
      </c>
      <c r="B250" s="6">
        <v>45658</v>
      </c>
      <c r="C250" s="5" t="s">
        <v>20</v>
      </c>
      <c r="D250" s="5" t="s">
        <v>18</v>
      </c>
      <c r="E250" s="15">
        <v>40923.67</v>
      </c>
      <c r="F250" s="5">
        <v>3875</v>
      </c>
      <c r="G250" s="5">
        <v>0.15</v>
      </c>
      <c r="H250" s="5">
        <v>10</v>
      </c>
      <c r="I250" s="5">
        <v>96.1</v>
      </c>
      <c r="J250" s="5">
        <v>3.3650000000000002</v>
      </c>
      <c r="K250" s="5">
        <v>0</v>
      </c>
      <c r="L250" s="5">
        <v>3.8</v>
      </c>
      <c r="M250" s="15">
        <v>606783.67000000004</v>
      </c>
      <c r="N250" s="5">
        <v>74515.87</v>
      </c>
    </row>
    <row r="251" spans="1:14">
      <c r="A251" s="5" t="s">
        <v>84</v>
      </c>
      <c r="B251" s="6">
        <v>45689</v>
      </c>
      <c r="C251" s="5" t="s">
        <v>20</v>
      </c>
      <c r="D251" s="5" t="s">
        <v>18</v>
      </c>
      <c r="E251" s="15">
        <v>72932.55</v>
      </c>
      <c r="F251" s="5">
        <v>5765</v>
      </c>
      <c r="G251" s="5">
        <v>2.5999999999999999E-2</v>
      </c>
      <c r="H251" s="5">
        <v>17</v>
      </c>
      <c r="I251" s="5">
        <v>81.8</v>
      </c>
      <c r="J251" s="5">
        <v>5.0999999999999996</v>
      </c>
      <c r="K251" s="5">
        <v>0</v>
      </c>
      <c r="L251" s="5">
        <v>3.6</v>
      </c>
      <c r="M251" s="15">
        <v>642751.42000000004</v>
      </c>
      <c r="N251" s="5">
        <v>131942.15</v>
      </c>
    </row>
    <row r="252" spans="1:14">
      <c r="A252" s="5" t="s">
        <v>84</v>
      </c>
      <c r="B252" s="6">
        <v>45717</v>
      </c>
      <c r="C252" s="5" t="s">
        <v>20</v>
      </c>
      <c r="D252" s="5" t="s">
        <v>18</v>
      </c>
      <c r="E252" s="15">
        <v>38361.93</v>
      </c>
      <c r="F252" s="5">
        <v>6322</v>
      </c>
      <c r="G252" s="5">
        <v>0.27300000000000002</v>
      </c>
      <c r="H252" s="5">
        <v>15</v>
      </c>
      <c r="I252" s="5">
        <v>88.4</v>
      </c>
      <c r="J252" s="5">
        <v>0.83</v>
      </c>
      <c r="K252" s="5">
        <v>0</v>
      </c>
      <c r="L252" s="5">
        <v>4</v>
      </c>
      <c r="M252" s="15">
        <v>647953.78</v>
      </c>
      <c r="N252" s="5">
        <v>118497.43</v>
      </c>
    </row>
    <row r="253" spans="1:14">
      <c r="A253" s="5" t="s">
        <v>84</v>
      </c>
      <c r="B253" s="6">
        <v>45748</v>
      </c>
      <c r="C253" s="5" t="s">
        <v>20</v>
      </c>
      <c r="D253" s="5" t="s">
        <v>18</v>
      </c>
      <c r="E253" s="15">
        <v>97480.94</v>
      </c>
      <c r="F253" s="5">
        <v>6840</v>
      </c>
      <c r="G253" s="5">
        <v>8.6999999999999994E-2</v>
      </c>
      <c r="H253" s="5">
        <v>14</v>
      </c>
      <c r="I253" s="5">
        <v>79.2</v>
      </c>
      <c r="J253" s="5">
        <v>1.1399999999999999</v>
      </c>
      <c r="K253" s="5">
        <v>0</v>
      </c>
      <c r="L253" s="5">
        <v>4</v>
      </c>
      <c r="M253" s="15">
        <v>729440.45</v>
      </c>
      <c r="N253" s="5">
        <v>87614.29</v>
      </c>
    </row>
    <row r="254" spans="1:14">
      <c r="A254" s="5" t="s">
        <v>85</v>
      </c>
      <c r="B254" s="6">
        <v>45658</v>
      </c>
      <c r="C254" s="5" t="s">
        <v>24</v>
      </c>
      <c r="D254" s="5" t="s">
        <v>21</v>
      </c>
      <c r="E254" s="15">
        <v>81801.8</v>
      </c>
      <c r="F254" s="5">
        <v>6782</v>
      </c>
      <c r="G254" s="5">
        <v>0.05</v>
      </c>
      <c r="H254" s="5">
        <v>16</v>
      </c>
      <c r="I254" s="5">
        <v>99</v>
      </c>
      <c r="J254" s="5">
        <v>9.5399999999999991</v>
      </c>
      <c r="K254" s="5">
        <v>0</v>
      </c>
      <c r="L254" s="5">
        <v>3.7</v>
      </c>
      <c r="M254" s="15">
        <v>764949</v>
      </c>
      <c r="N254" s="5">
        <v>148322.43</v>
      </c>
    </row>
    <row r="255" spans="1:14">
      <c r="A255" s="5" t="s">
        <v>85</v>
      </c>
      <c r="B255" s="6">
        <v>45689</v>
      </c>
      <c r="C255" s="5" t="s">
        <v>24</v>
      </c>
      <c r="D255" s="5" t="s">
        <v>21</v>
      </c>
      <c r="E255" s="15">
        <v>63582.11</v>
      </c>
      <c r="F255" s="5">
        <v>6856</v>
      </c>
      <c r="G255" s="5">
        <v>7.3999999999999996E-2</v>
      </c>
      <c r="H255" s="5">
        <v>17</v>
      </c>
      <c r="I255" s="5">
        <v>89.5</v>
      </c>
      <c r="J255" s="5">
        <v>5.48</v>
      </c>
      <c r="K255" s="5">
        <v>0</v>
      </c>
      <c r="L255" s="5">
        <v>3.2</v>
      </c>
      <c r="M255" s="15">
        <v>799046.94</v>
      </c>
      <c r="N255" s="5">
        <v>144553.64000000001</v>
      </c>
    </row>
    <row r="256" spans="1:14">
      <c r="A256" s="5" t="s">
        <v>85</v>
      </c>
      <c r="B256" s="6">
        <v>45717</v>
      </c>
      <c r="C256" s="5" t="s">
        <v>24</v>
      </c>
      <c r="D256" s="5" t="s">
        <v>21</v>
      </c>
      <c r="E256" s="15">
        <v>75412.740000000005</v>
      </c>
      <c r="F256" s="5">
        <v>5641</v>
      </c>
      <c r="G256" s="5">
        <v>5.8999999999999997E-2</v>
      </c>
      <c r="H256" s="5">
        <v>13</v>
      </c>
      <c r="I256" s="5">
        <v>87.9</v>
      </c>
      <c r="J256" s="5">
        <v>0.84</v>
      </c>
      <c r="K256" s="5">
        <v>0</v>
      </c>
      <c r="L256" s="5">
        <v>3.6</v>
      </c>
      <c r="M256" s="15">
        <v>720079.54</v>
      </c>
      <c r="N256" s="5">
        <v>119499.47</v>
      </c>
    </row>
    <row r="257" spans="1:14">
      <c r="A257" s="5" t="s">
        <v>85</v>
      </c>
      <c r="B257" s="6">
        <v>45748</v>
      </c>
      <c r="C257" s="5" t="s">
        <v>24</v>
      </c>
      <c r="D257" s="5" t="s">
        <v>21</v>
      </c>
      <c r="E257" s="15">
        <v>36290.080000000002</v>
      </c>
      <c r="F257" s="5">
        <v>5787</v>
      </c>
      <c r="G257" s="5">
        <v>0</v>
      </c>
      <c r="H257" s="5">
        <v>17</v>
      </c>
      <c r="I257" s="5">
        <v>88.3</v>
      </c>
      <c r="J257" s="5">
        <v>4.1900000000000004</v>
      </c>
      <c r="K257" s="5">
        <v>0</v>
      </c>
      <c r="L257" s="5">
        <v>4.0999999999999996</v>
      </c>
      <c r="M257" s="15">
        <v>612390.14</v>
      </c>
      <c r="N257" s="5">
        <v>108985.74</v>
      </c>
    </row>
    <row r="258" spans="1:14">
      <c r="A258" s="5" t="s">
        <v>86</v>
      </c>
      <c r="B258" s="6">
        <v>45658</v>
      </c>
      <c r="C258" s="5" t="s">
        <v>24</v>
      </c>
      <c r="D258" s="5" t="s">
        <v>28</v>
      </c>
      <c r="E258" s="15">
        <v>65272.58</v>
      </c>
      <c r="F258" s="5">
        <v>8165</v>
      </c>
      <c r="G258" s="5">
        <v>5.0999999999999997E-2</v>
      </c>
      <c r="H258" s="5">
        <v>19</v>
      </c>
      <c r="I258" s="5">
        <v>87.8</v>
      </c>
      <c r="J258" s="5">
        <v>1.26</v>
      </c>
      <c r="K258" s="5">
        <v>1</v>
      </c>
      <c r="L258" s="5">
        <v>4.3</v>
      </c>
      <c r="M258" s="15">
        <v>840108.12</v>
      </c>
      <c r="N258" s="5">
        <v>126587.01</v>
      </c>
    </row>
    <row r="259" spans="1:14">
      <c r="A259" s="5" t="s">
        <v>86</v>
      </c>
      <c r="B259" s="6">
        <v>45689</v>
      </c>
      <c r="C259" s="5" t="s">
        <v>24</v>
      </c>
      <c r="D259" s="5" t="s">
        <v>28</v>
      </c>
      <c r="E259" s="15">
        <v>28670.43</v>
      </c>
      <c r="F259" s="5">
        <v>7574</v>
      </c>
      <c r="G259" s="5">
        <v>0.114</v>
      </c>
      <c r="H259" s="5">
        <v>19</v>
      </c>
      <c r="I259" s="5">
        <v>82.7</v>
      </c>
      <c r="J259" s="5">
        <v>2.74</v>
      </c>
      <c r="K259" s="5">
        <v>0</v>
      </c>
      <c r="L259" s="5">
        <v>4.5999999999999996</v>
      </c>
      <c r="M259" s="15">
        <v>697888.09</v>
      </c>
      <c r="N259" s="5">
        <v>116249.87</v>
      </c>
    </row>
    <row r="260" spans="1:14">
      <c r="A260" s="5" t="s">
        <v>86</v>
      </c>
      <c r="B260" s="6">
        <v>45717</v>
      </c>
      <c r="C260" s="5" t="s">
        <v>24</v>
      </c>
      <c r="D260" s="5" t="s">
        <v>28</v>
      </c>
      <c r="E260" s="15">
        <v>44189.34</v>
      </c>
      <c r="F260" s="5">
        <v>8634</v>
      </c>
      <c r="G260" s="5">
        <v>0.14299999999999999</v>
      </c>
      <c r="H260" s="5">
        <v>19</v>
      </c>
      <c r="I260" s="5">
        <v>87.5</v>
      </c>
      <c r="J260" s="5">
        <v>3.69</v>
      </c>
      <c r="K260" s="5">
        <v>0</v>
      </c>
      <c r="L260" s="5">
        <v>4.4000000000000004</v>
      </c>
      <c r="M260" s="15">
        <v>746115.59</v>
      </c>
      <c r="N260" s="5">
        <v>94662.96</v>
      </c>
    </row>
    <row r="261" spans="1:14">
      <c r="A261" s="5" t="s">
        <v>86</v>
      </c>
      <c r="B261" s="6">
        <v>45748</v>
      </c>
      <c r="C261" s="5" t="s">
        <v>24</v>
      </c>
      <c r="D261" s="5" t="s">
        <v>28</v>
      </c>
      <c r="E261" s="15">
        <v>38397.82</v>
      </c>
      <c r="F261" s="5">
        <v>7836</v>
      </c>
      <c r="G261" s="5">
        <v>7.0000000000000001E-3</v>
      </c>
      <c r="H261" s="5">
        <v>21</v>
      </c>
      <c r="I261" s="5">
        <v>92.2</v>
      </c>
      <c r="J261" s="5">
        <v>1.82</v>
      </c>
      <c r="K261" s="5">
        <v>0</v>
      </c>
      <c r="L261" s="5">
        <v>3.6</v>
      </c>
      <c r="M261" s="15">
        <v>776110.32</v>
      </c>
      <c r="N261" s="5">
        <v>139676.21</v>
      </c>
    </row>
    <row r="262" spans="1:14">
      <c r="A262" s="5" t="s">
        <v>87</v>
      </c>
      <c r="B262" s="6">
        <v>45658</v>
      </c>
      <c r="C262" s="5" t="s">
        <v>27</v>
      </c>
      <c r="D262" s="5" t="s">
        <v>18</v>
      </c>
      <c r="E262" s="15">
        <v>14519.37</v>
      </c>
      <c r="F262" s="5">
        <v>3047</v>
      </c>
      <c r="G262" s="5">
        <v>0.13500000000000001</v>
      </c>
      <c r="H262" s="5">
        <v>10</v>
      </c>
      <c r="I262" s="5">
        <v>90.3</v>
      </c>
      <c r="J262" s="5">
        <v>6.62</v>
      </c>
      <c r="K262" s="5">
        <v>0</v>
      </c>
      <c r="L262" s="5">
        <v>4.2</v>
      </c>
      <c r="M262" s="15">
        <v>528852.62</v>
      </c>
      <c r="N262" s="5">
        <v>68426.210000000006</v>
      </c>
    </row>
    <row r="263" spans="1:14">
      <c r="A263" s="5" t="s">
        <v>87</v>
      </c>
      <c r="B263" s="6">
        <v>45689</v>
      </c>
      <c r="C263" s="5" t="s">
        <v>27</v>
      </c>
      <c r="D263" s="5" t="s">
        <v>18</v>
      </c>
      <c r="E263" s="15">
        <v>43288.2</v>
      </c>
      <c r="F263" s="5">
        <v>4783</v>
      </c>
      <c r="G263" s="5">
        <v>0.16900000000000001</v>
      </c>
      <c r="H263" s="5">
        <v>13</v>
      </c>
      <c r="I263" s="5">
        <v>87.3</v>
      </c>
      <c r="J263" s="5">
        <v>3.3650000000000002</v>
      </c>
      <c r="K263" s="5">
        <v>0</v>
      </c>
      <c r="L263" s="5">
        <v>4.2</v>
      </c>
      <c r="M263" s="15">
        <v>605751.32999999996</v>
      </c>
      <c r="N263" s="5">
        <v>60685.53</v>
      </c>
    </row>
    <row r="264" spans="1:14">
      <c r="A264" s="5" t="s">
        <v>87</v>
      </c>
      <c r="B264" s="6">
        <v>45717</v>
      </c>
      <c r="C264" s="5" t="s">
        <v>27</v>
      </c>
      <c r="D264" s="5" t="s">
        <v>18</v>
      </c>
      <c r="E264" s="15">
        <v>51450.55</v>
      </c>
      <c r="F264" s="5">
        <v>4902</v>
      </c>
      <c r="G264" s="5">
        <v>8.5999999999999993E-2</v>
      </c>
      <c r="H264" s="5">
        <v>11</v>
      </c>
      <c r="I264" s="5">
        <v>83.7</v>
      </c>
      <c r="J264" s="5">
        <v>6.92</v>
      </c>
      <c r="K264" s="5">
        <v>1</v>
      </c>
      <c r="L264" s="5">
        <v>4.2</v>
      </c>
      <c r="M264" s="15">
        <v>677640.65</v>
      </c>
      <c r="N264" s="5">
        <v>111610.89</v>
      </c>
    </row>
    <row r="265" spans="1:14">
      <c r="A265" s="5" t="s">
        <v>87</v>
      </c>
      <c r="B265" s="6">
        <v>45748</v>
      </c>
      <c r="C265" s="5" t="s">
        <v>27</v>
      </c>
      <c r="D265" s="5" t="s">
        <v>18</v>
      </c>
      <c r="E265" s="15">
        <v>58688.26</v>
      </c>
      <c r="F265" s="5">
        <v>4022</v>
      </c>
      <c r="G265" s="5">
        <v>0.217</v>
      </c>
      <c r="H265" s="5">
        <v>12</v>
      </c>
      <c r="I265" s="5">
        <v>93.8</v>
      </c>
      <c r="J265" s="5">
        <v>11.78</v>
      </c>
      <c r="K265" s="5">
        <v>0</v>
      </c>
      <c r="L265" s="5">
        <v>3.7</v>
      </c>
      <c r="M265" s="15">
        <v>636613.23</v>
      </c>
      <c r="N265" s="5">
        <v>78908.350000000006</v>
      </c>
    </row>
    <row r="266" spans="1:14">
      <c r="A266" s="5" t="s">
        <v>88</v>
      </c>
      <c r="B266" s="6">
        <v>45658</v>
      </c>
      <c r="C266" s="5" t="s">
        <v>15</v>
      </c>
      <c r="D266" s="5" t="s">
        <v>18</v>
      </c>
      <c r="E266" s="15">
        <v>58981.91</v>
      </c>
      <c r="F266" s="5">
        <v>7324</v>
      </c>
      <c r="G266" s="5">
        <v>9.4E-2</v>
      </c>
      <c r="H266" s="5">
        <v>15</v>
      </c>
      <c r="I266" s="5">
        <v>95.8</v>
      </c>
      <c r="J266" s="5">
        <v>0.5</v>
      </c>
      <c r="K266" s="5">
        <v>0</v>
      </c>
      <c r="L266" s="5">
        <v>3.5</v>
      </c>
      <c r="M266" s="15">
        <v>708985.19</v>
      </c>
      <c r="N266" s="5">
        <v>125368.16</v>
      </c>
    </row>
    <row r="267" spans="1:14">
      <c r="A267" s="5" t="s">
        <v>88</v>
      </c>
      <c r="B267" s="6">
        <v>45689</v>
      </c>
      <c r="C267" s="5" t="s">
        <v>15</v>
      </c>
      <c r="D267" s="5" t="s">
        <v>18</v>
      </c>
      <c r="E267" s="15">
        <v>73454.539999999994</v>
      </c>
      <c r="F267" s="5">
        <v>8129</v>
      </c>
      <c r="G267" s="5">
        <v>0.21099999999999999</v>
      </c>
      <c r="H267" s="5">
        <v>20</v>
      </c>
      <c r="I267" s="5">
        <v>85.2</v>
      </c>
      <c r="J267" s="5">
        <v>0.88</v>
      </c>
      <c r="K267" s="5">
        <v>0</v>
      </c>
      <c r="L267" s="5">
        <v>3.7</v>
      </c>
      <c r="M267" s="15">
        <v>767792.94</v>
      </c>
      <c r="N267" s="5">
        <v>96235.77</v>
      </c>
    </row>
    <row r="268" spans="1:14">
      <c r="A268" s="5" t="s">
        <v>88</v>
      </c>
      <c r="B268" s="6">
        <v>45717</v>
      </c>
      <c r="C268" s="5" t="s">
        <v>15</v>
      </c>
      <c r="D268" s="5" t="s">
        <v>18</v>
      </c>
      <c r="E268" s="15">
        <v>56602.39</v>
      </c>
      <c r="F268" s="5">
        <v>7969</v>
      </c>
      <c r="G268" s="5">
        <v>0.17</v>
      </c>
      <c r="H268" s="5">
        <v>21</v>
      </c>
      <c r="I268" s="5">
        <v>88.3</v>
      </c>
      <c r="J268" s="5">
        <v>2.25</v>
      </c>
      <c r="K268" s="5">
        <v>0</v>
      </c>
      <c r="L268" s="5">
        <v>3.7</v>
      </c>
      <c r="M268" s="15">
        <v>745580.51</v>
      </c>
      <c r="N268" s="5">
        <v>116273.68</v>
      </c>
    </row>
    <row r="269" spans="1:14">
      <c r="A269" s="5" t="s">
        <v>88</v>
      </c>
      <c r="B269" s="6">
        <v>45748</v>
      </c>
      <c r="C269" s="5" t="s">
        <v>15</v>
      </c>
      <c r="D269" s="5" t="s">
        <v>18</v>
      </c>
      <c r="E269" s="15">
        <v>67722.289999999994</v>
      </c>
      <c r="F269" s="5">
        <v>7240</v>
      </c>
      <c r="G269" s="5">
        <v>2.5999999999999999E-2</v>
      </c>
      <c r="H269" s="5">
        <v>15</v>
      </c>
      <c r="I269" s="5">
        <v>92.9</v>
      </c>
      <c r="J269" s="5">
        <v>0.28999999999999998</v>
      </c>
      <c r="K269" s="5">
        <v>0</v>
      </c>
      <c r="L269" s="5">
        <v>3.5</v>
      </c>
      <c r="M269" s="15">
        <v>762328.31</v>
      </c>
      <c r="N269" s="5">
        <v>159158.19</v>
      </c>
    </row>
    <row r="270" spans="1:14">
      <c r="A270" s="5" t="s">
        <v>89</v>
      </c>
      <c r="B270" s="6">
        <v>45658</v>
      </c>
      <c r="C270" s="5" t="s">
        <v>15</v>
      </c>
      <c r="D270" s="5" t="s">
        <v>28</v>
      </c>
      <c r="E270" s="15">
        <v>48752.92</v>
      </c>
      <c r="F270" s="5">
        <v>8052</v>
      </c>
      <c r="G270" s="5">
        <v>0.106</v>
      </c>
      <c r="H270" s="5">
        <v>16</v>
      </c>
      <c r="I270" s="5">
        <v>94.9</v>
      </c>
      <c r="J270" s="5">
        <v>0.65</v>
      </c>
      <c r="K270" s="5">
        <v>0</v>
      </c>
      <c r="L270" s="5">
        <v>3.6</v>
      </c>
      <c r="M270" s="15">
        <v>660633.99</v>
      </c>
      <c r="N270" s="5">
        <v>118768.66</v>
      </c>
    </row>
    <row r="271" spans="1:14">
      <c r="A271" s="5" t="s">
        <v>89</v>
      </c>
      <c r="B271" s="6">
        <v>45689</v>
      </c>
      <c r="C271" s="5" t="s">
        <v>15</v>
      </c>
      <c r="D271" s="5" t="s">
        <v>28</v>
      </c>
      <c r="E271" s="15">
        <v>23914.97</v>
      </c>
      <c r="F271" s="5">
        <v>8018</v>
      </c>
      <c r="G271" s="5">
        <v>0.13900000000000001</v>
      </c>
      <c r="H271" s="5">
        <v>20</v>
      </c>
      <c r="I271" s="5">
        <v>89</v>
      </c>
      <c r="J271" s="5">
        <v>0.2</v>
      </c>
      <c r="K271" s="5">
        <v>0</v>
      </c>
      <c r="L271" s="5">
        <v>3.5</v>
      </c>
      <c r="M271" s="15">
        <v>739374.56</v>
      </c>
      <c r="N271" s="5">
        <v>121032.29</v>
      </c>
    </row>
    <row r="272" spans="1:14">
      <c r="A272" s="5" t="s">
        <v>89</v>
      </c>
      <c r="B272" s="6">
        <v>45717</v>
      </c>
      <c r="C272" s="5" t="s">
        <v>15</v>
      </c>
      <c r="D272" s="5" t="s">
        <v>28</v>
      </c>
      <c r="E272" s="15">
        <v>61995.3</v>
      </c>
      <c r="F272" s="5">
        <v>10192</v>
      </c>
      <c r="G272" s="5">
        <v>0.19800000000000001</v>
      </c>
      <c r="H272" s="5">
        <v>21</v>
      </c>
      <c r="I272" s="5">
        <v>87.6</v>
      </c>
      <c r="J272" s="5">
        <v>3.63</v>
      </c>
      <c r="K272" s="5">
        <v>1</v>
      </c>
      <c r="L272" s="5">
        <v>3.8</v>
      </c>
      <c r="M272" s="15">
        <v>799756.46</v>
      </c>
      <c r="N272" s="5">
        <v>105052.93</v>
      </c>
    </row>
    <row r="273" spans="1:14">
      <c r="A273" s="5" t="s">
        <v>89</v>
      </c>
      <c r="B273" s="6">
        <v>45748</v>
      </c>
      <c r="C273" s="5" t="s">
        <v>15</v>
      </c>
      <c r="D273" s="5" t="s">
        <v>28</v>
      </c>
      <c r="E273" s="15">
        <v>29344.93</v>
      </c>
      <c r="F273" s="5">
        <v>7446</v>
      </c>
      <c r="G273" s="5">
        <v>0.111</v>
      </c>
      <c r="H273" s="5">
        <v>15</v>
      </c>
      <c r="I273" s="5">
        <v>86.2</v>
      </c>
      <c r="J273" s="5">
        <v>0.2</v>
      </c>
      <c r="K273" s="5">
        <v>0</v>
      </c>
      <c r="L273" s="5">
        <v>3.2</v>
      </c>
      <c r="M273" s="15">
        <v>593343</v>
      </c>
      <c r="N273" s="5">
        <v>82832.240000000005</v>
      </c>
    </row>
    <row r="274" spans="1:14">
      <c r="A274" s="5" t="s">
        <v>90</v>
      </c>
      <c r="B274" s="6">
        <v>45658</v>
      </c>
      <c r="C274" s="5" t="s">
        <v>27</v>
      </c>
      <c r="D274" s="5" t="s">
        <v>18</v>
      </c>
      <c r="E274" s="15">
        <v>50532.17</v>
      </c>
      <c r="F274" s="5">
        <v>5689</v>
      </c>
      <c r="G274" s="5">
        <v>5.1999999999999998E-2</v>
      </c>
      <c r="H274" s="5">
        <v>17</v>
      </c>
      <c r="I274" s="5">
        <v>85.6</v>
      </c>
      <c r="J274" s="5">
        <v>6.23</v>
      </c>
      <c r="K274" s="5">
        <v>0</v>
      </c>
      <c r="L274" s="5">
        <v>3.3</v>
      </c>
      <c r="M274" s="15">
        <v>645039.97</v>
      </c>
      <c r="N274" s="5">
        <v>83093.33</v>
      </c>
    </row>
    <row r="275" spans="1:14">
      <c r="A275" s="5" t="s">
        <v>90</v>
      </c>
      <c r="B275" s="6">
        <v>45689</v>
      </c>
      <c r="C275" s="5" t="s">
        <v>27</v>
      </c>
      <c r="D275" s="5" t="s">
        <v>18</v>
      </c>
      <c r="E275" s="15">
        <v>17562.57</v>
      </c>
      <c r="F275" s="5">
        <v>3326</v>
      </c>
      <c r="G275" s="5">
        <v>0.153</v>
      </c>
      <c r="H275" s="5">
        <v>14</v>
      </c>
      <c r="I275" s="5">
        <v>88.1</v>
      </c>
      <c r="J275" s="5">
        <v>1.04</v>
      </c>
      <c r="K275" s="5">
        <v>0</v>
      </c>
      <c r="L275" s="5">
        <v>3.1</v>
      </c>
      <c r="M275" s="15">
        <v>561597.32999999996</v>
      </c>
      <c r="N275" s="5">
        <v>75072.75</v>
      </c>
    </row>
    <row r="276" spans="1:14">
      <c r="A276" s="5" t="s">
        <v>90</v>
      </c>
      <c r="B276" s="6">
        <v>45717</v>
      </c>
      <c r="C276" s="5" t="s">
        <v>27</v>
      </c>
      <c r="D276" s="5" t="s">
        <v>18</v>
      </c>
      <c r="E276" s="15">
        <v>47648.71</v>
      </c>
      <c r="F276" s="5">
        <v>5767</v>
      </c>
      <c r="G276" s="5">
        <v>0.14099999999999999</v>
      </c>
      <c r="H276" s="5">
        <v>17</v>
      </c>
      <c r="I276" s="5">
        <v>89.8</v>
      </c>
      <c r="J276" s="5">
        <v>1.76</v>
      </c>
      <c r="K276" s="5">
        <v>0</v>
      </c>
      <c r="L276" s="5">
        <v>3.1</v>
      </c>
      <c r="M276" s="15">
        <v>635837.74</v>
      </c>
      <c r="N276" s="5">
        <v>114740.64</v>
      </c>
    </row>
    <row r="277" spans="1:14">
      <c r="A277" s="5" t="s">
        <v>90</v>
      </c>
      <c r="B277" s="6">
        <v>45748</v>
      </c>
      <c r="C277" s="5" t="s">
        <v>27</v>
      </c>
      <c r="D277" s="5" t="s">
        <v>18</v>
      </c>
      <c r="E277" s="15">
        <v>38297.58</v>
      </c>
      <c r="F277" s="5">
        <v>5893</v>
      </c>
      <c r="G277" s="5">
        <v>0.247</v>
      </c>
      <c r="H277" s="5">
        <v>18</v>
      </c>
      <c r="I277" s="5">
        <v>77.599999999999994</v>
      </c>
      <c r="J277" s="5">
        <v>2.86</v>
      </c>
      <c r="K277" s="5">
        <v>0</v>
      </c>
      <c r="L277" s="5">
        <v>3</v>
      </c>
      <c r="M277" s="15">
        <v>686737.87</v>
      </c>
      <c r="N277" s="5">
        <v>83839.67</v>
      </c>
    </row>
    <row r="278" spans="1:14">
      <c r="A278" s="5" t="s">
        <v>91</v>
      </c>
      <c r="B278" s="6">
        <v>45658</v>
      </c>
      <c r="C278" s="5" t="s">
        <v>24</v>
      </c>
      <c r="D278" s="5" t="s">
        <v>16</v>
      </c>
      <c r="E278" s="15">
        <v>61784.11</v>
      </c>
      <c r="F278" s="5">
        <v>8564</v>
      </c>
      <c r="G278" s="5">
        <v>0.13</v>
      </c>
      <c r="H278" s="5">
        <v>17</v>
      </c>
      <c r="I278" s="5">
        <v>87.4</v>
      </c>
      <c r="J278" s="5">
        <v>18.14</v>
      </c>
      <c r="K278" s="5">
        <v>1</v>
      </c>
      <c r="L278" s="5">
        <v>3.4</v>
      </c>
      <c r="M278" s="15">
        <v>673076.34</v>
      </c>
      <c r="N278" s="5">
        <v>93899.76</v>
      </c>
    </row>
    <row r="279" spans="1:14">
      <c r="A279" s="5" t="s">
        <v>91</v>
      </c>
      <c r="B279" s="6">
        <v>45689</v>
      </c>
      <c r="C279" s="5" t="s">
        <v>24</v>
      </c>
      <c r="D279" s="5" t="s">
        <v>16</v>
      </c>
      <c r="E279" s="15">
        <v>36832.33</v>
      </c>
      <c r="F279" s="5">
        <v>8001</v>
      </c>
      <c r="G279" s="5">
        <v>0</v>
      </c>
      <c r="H279" s="5">
        <v>19</v>
      </c>
      <c r="I279" s="5">
        <v>88.7</v>
      </c>
      <c r="J279" s="5">
        <v>3.39</v>
      </c>
      <c r="K279" s="5">
        <v>0</v>
      </c>
      <c r="L279" s="5">
        <v>4</v>
      </c>
      <c r="M279" s="15">
        <v>738548.42</v>
      </c>
      <c r="N279" s="5">
        <v>134282.76999999999</v>
      </c>
    </row>
    <row r="280" spans="1:14">
      <c r="A280" s="5" t="s">
        <v>91</v>
      </c>
      <c r="B280" s="6">
        <v>45717</v>
      </c>
      <c r="C280" s="5" t="s">
        <v>24</v>
      </c>
      <c r="D280" s="5" t="s">
        <v>16</v>
      </c>
      <c r="E280" s="15">
        <v>48609.41</v>
      </c>
      <c r="F280" s="5">
        <v>9324</v>
      </c>
      <c r="G280" s="5">
        <v>0.21299999999999999</v>
      </c>
      <c r="H280" s="5">
        <v>18</v>
      </c>
      <c r="I280" s="5">
        <v>86.5</v>
      </c>
      <c r="J280" s="5">
        <v>1.44</v>
      </c>
      <c r="K280" s="5">
        <v>0</v>
      </c>
      <c r="L280" s="5">
        <v>3.9</v>
      </c>
      <c r="M280" s="15">
        <v>756619.77</v>
      </c>
      <c r="N280" s="5">
        <v>112057.69</v>
      </c>
    </row>
    <row r="281" spans="1:14">
      <c r="A281" s="5" t="s">
        <v>91</v>
      </c>
      <c r="B281" s="6">
        <v>45748</v>
      </c>
      <c r="C281" s="5" t="s">
        <v>24</v>
      </c>
      <c r="D281" s="5" t="s">
        <v>16</v>
      </c>
      <c r="E281" s="15">
        <v>70284.06</v>
      </c>
      <c r="F281" s="5">
        <v>9109</v>
      </c>
      <c r="G281" s="5">
        <v>4.0000000000000001E-3</v>
      </c>
      <c r="H281" s="5">
        <v>23</v>
      </c>
      <c r="I281" s="5">
        <v>87</v>
      </c>
      <c r="J281" s="5">
        <v>3.65</v>
      </c>
      <c r="K281" s="5">
        <v>0</v>
      </c>
      <c r="L281" s="5">
        <v>3.7</v>
      </c>
      <c r="M281" s="15">
        <v>761122.42</v>
      </c>
      <c r="N281" s="5">
        <v>149802.04</v>
      </c>
    </row>
    <row r="282" spans="1:14">
      <c r="A282" s="5" t="s">
        <v>92</v>
      </c>
      <c r="B282" s="6">
        <v>45658</v>
      </c>
      <c r="C282" s="5" t="s">
        <v>24</v>
      </c>
      <c r="D282" s="5" t="s">
        <v>18</v>
      </c>
      <c r="E282" s="15">
        <v>45940.39</v>
      </c>
      <c r="F282" s="5">
        <v>4022</v>
      </c>
      <c r="G282" s="5">
        <v>6.9000000000000006E-2</v>
      </c>
      <c r="H282" s="5">
        <v>10</v>
      </c>
      <c r="I282" s="5">
        <v>83</v>
      </c>
      <c r="J282" s="5">
        <v>1.23</v>
      </c>
      <c r="K282" s="5">
        <v>1</v>
      </c>
      <c r="L282" s="5">
        <v>3.8</v>
      </c>
      <c r="M282" s="15">
        <v>524899.56999999995</v>
      </c>
      <c r="N282" s="5">
        <v>63619.98</v>
      </c>
    </row>
    <row r="283" spans="1:14">
      <c r="A283" s="5" t="s">
        <v>92</v>
      </c>
      <c r="B283" s="6">
        <v>45689</v>
      </c>
      <c r="C283" s="5" t="s">
        <v>24</v>
      </c>
      <c r="D283" s="5" t="s">
        <v>18</v>
      </c>
      <c r="E283" s="15">
        <v>34771.26</v>
      </c>
      <c r="F283" s="5">
        <v>4355</v>
      </c>
      <c r="G283" s="5">
        <v>5.0999999999999997E-2</v>
      </c>
      <c r="H283" s="5">
        <v>15</v>
      </c>
      <c r="I283" s="5">
        <v>87.9</v>
      </c>
      <c r="J283" s="5">
        <v>3.09</v>
      </c>
      <c r="K283" s="5">
        <v>0</v>
      </c>
      <c r="L283" s="5">
        <v>4</v>
      </c>
      <c r="M283" s="15">
        <v>555557.77</v>
      </c>
      <c r="N283" s="5">
        <v>86475.51</v>
      </c>
    </row>
    <row r="284" spans="1:14">
      <c r="A284" s="5" t="s">
        <v>92</v>
      </c>
      <c r="B284" s="6">
        <v>45717</v>
      </c>
      <c r="C284" s="5" t="s">
        <v>24</v>
      </c>
      <c r="D284" s="5" t="s">
        <v>18</v>
      </c>
      <c r="E284" s="15">
        <v>66104.19</v>
      </c>
      <c r="F284" s="5">
        <v>5745</v>
      </c>
      <c r="G284" s="5">
        <v>7.0000000000000007E-2</v>
      </c>
      <c r="H284" s="5">
        <v>17</v>
      </c>
      <c r="I284" s="5">
        <v>95.8</v>
      </c>
      <c r="J284" s="5">
        <v>3.15</v>
      </c>
      <c r="K284" s="5">
        <v>0</v>
      </c>
      <c r="L284" s="5">
        <v>4</v>
      </c>
      <c r="M284" s="15">
        <v>714083.68</v>
      </c>
      <c r="N284" s="5">
        <v>127231.74</v>
      </c>
    </row>
    <row r="285" spans="1:14">
      <c r="A285" s="5" t="s">
        <v>92</v>
      </c>
      <c r="B285" s="6">
        <v>45748</v>
      </c>
      <c r="C285" s="5" t="s">
        <v>24</v>
      </c>
      <c r="D285" s="5" t="s">
        <v>18</v>
      </c>
      <c r="E285" s="15">
        <v>18599.21</v>
      </c>
      <c r="F285" s="5">
        <v>3027</v>
      </c>
      <c r="G285" s="5">
        <v>0.122</v>
      </c>
      <c r="H285" s="5">
        <v>11</v>
      </c>
      <c r="I285" s="5">
        <v>80.900000000000006</v>
      </c>
      <c r="J285" s="5">
        <v>6.44</v>
      </c>
      <c r="K285" s="5">
        <v>0</v>
      </c>
      <c r="L285" s="5">
        <v>4.2</v>
      </c>
      <c r="M285" s="15">
        <v>497439.82</v>
      </c>
      <c r="N285" s="5">
        <v>93372.75</v>
      </c>
    </row>
    <row r="286" spans="1:14">
      <c r="A286" s="5" t="s">
        <v>93</v>
      </c>
      <c r="B286" s="6">
        <v>45658</v>
      </c>
      <c r="C286" s="5" t="s">
        <v>27</v>
      </c>
      <c r="D286" s="5" t="s">
        <v>16</v>
      </c>
      <c r="E286" s="15">
        <v>60183.06</v>
      </c>
      <c r="F286" s="5">
        <v>5562</v>
      </c>
      <c r="G286" s="5">
        <v>8.9999999999999993E-3</v>
      </c>
      <c r="H286" s="5">
        <v>13</v>
      </c>
      <c r="I286" s="5">
        <v>86.3</v>
      </c>
      <c r="J286" s="5">
        <v>0.2</v>
      </c>
      <c r="K286" s="5">
        <v>1</v>
      </c>
      <c r="L286" s="5">
        <v>4.5</v>
      </c>
      <c r="M286" s="15">
        <v>636775.66</v>
      </c>
      <c r="N286" s="5">
        <v>122636.86</v>
      </c>
    </row>
    <row r="287" spans="1:14">
      <c r="A287" s="5" t="s">
        <v>93</v>
      </c>
      <c r="B287" s="6">
        <v>45689</v>
      </c>
      <c r="C287" s="5" t="s">
        <v>27</v>
      </c>
      <c r="D287" s="5" t="s">
        <v>16</v>
      </c>
      <c r="E287" s="15">
        <v>74539.14</v>
      </c>
      <c r="F287" s="5">
        <v>4487</v>
      </c>
      <c r="G287" s="5">
        <v>0.14000000000000001</v>
      </c>
      <c r="H287" s="5">
        <v>10</v>
      </c>
      <c r="I287" s="5">
        <v>90.4</v>
      </c>
      <c r="J287" s="5">
        <v>0.59</v>
      </c>
      <c r="K287" s="5">
        <v>0</v>
      </c>
      <c r="L287" s="5">
        <v>4.5</v>
      </c>
      <c r="M287" s="15">
        <v>633009.53</v>
      </c>
      <c r="N287" s="5">
        <v>123782.67</v>
      </c>
    </row>
    <row r="288" spans="1:14">
      <c r="A288" s="5" t="s">
        <v>93</v>
      </c>
      <c r="B288" s="6">
        <v>45717</v>
      </c>
      <c r="C288" s="5" t="s">
        <v>27</v>
      </c>
      <c r="D288" s="5" t="s">
        <v>16</v>
      </c>
      <c r="E288" s="15">
        <v>55371.97</v>
      </c>
      <c r="F288" s="5">
        <v>4162</v>
      </c>
      <c r="G288" s="5">
        <v>0.183</v>
      </c>
      <c r="H288" s="5">
        <v>11</v>
      </c>
      <c r="I288" s="5">
        <v>92</v>
      </c>
      <c r="J288" s="5">
        <v>0.2</v>
      </c>
      <c r="K288" s="5">
        <v>1</v>
      </c>
      <c r="L288" s="5">
        <v>4.2</v>
      </c>
      <c r="M288" s="15">
        <v>609949</v>
      </c>
      <c r="N288" s="5">
        <v>126789.25</v>
      </c>
    </row>
    <row r="289" spans="1:14">
      <c r="A289" s="5" t="s">
        <v>93</v>
      </c>
      <c r="B289" s="6">
        <v>45748</v>
      </c>
      <c r="C289" s="5" t="s">
        <v>27</v>
      </c>
      <c r="D289" s="5" t="s">
        <v>16</v>
      </c>
      <c r="E289" s="15">
        <v>40928.69</v>
      </c>
      <c r="F289" s="5">
        <v>4094</v>
      </c>
      <c r="G289" s="5">
        <v>0.17399999999999999</v>
      </c>
      <c r="H289" s="5">
        <v>13</v>
      </c>
      <c r="I289" s="5">
        <v>82.4</v>
      </c>
      <c r="J289" s="5">
        <v>1.36</v>
      </c>
      <c r="K289" s="5">
        <v>0</v>
      </c>
      <c r="L289" s="5">
        <v>4.8</v>
      </c>
      <c r="M289" s="15">
        <v>548103.69999999995</v>
      </c>
      <c r="N289" s="5">
        <v>99905.52</v>
      </c>
    </row>
    <row r="290" spans="1:14">
      <c r="A290" s="5" t="s">
        <v>94</v>
      </c>
      <c r="B290" s="6">
        <v>45658</v>
      </c>
      <c r="C290" s="5" t="s">
        <v>15</v>
      </c>
      <c r="D290" s="5" t="s">
        <v>16</v>
      </c>
      <c r="E290" s="15">
        <v>70012.41</v>
      </c>
      <c r="F290" s="5">
        <v>8484</v>
      </c>
      <c r="G290" s="5">
        <v>0.27300000000000002</v>
      </c>
      <c r="H290" s="5">
        <v>23</v>
      </c>
      <c r="I290" s="5">
        <v>72.900000000000006</v>
      </c>
      <c r="J290" s="5">
        <v>3.34</v>
      </c>
      <c r="K290" s="5">
        <v>0</v>
      </c>
      <c r="L290" s="5">
        <v>3.7</v>
      </c>
      <c r="M290" s="15">
        <v>729424.42</v>
      </c>
      <c r="N290" s="5">
        <v>75592.28</v>
      </c>
    </row>
    <row r="291" spans="1:14">
      <c r="A291" s="5" t="s">
        <v>94</v>
      </c>
      <c r="B291" s="6">
        <v>45689</v>
      </c>
      <c r="C291" s="5" t="s">
        <v>15</v>
      </c>
      <c r="D291" s="5" t="s">
        <v>16</v>
      </c>
      <c r="E291" s="15">
        <v>68909.259999999995</v>
      </c>
      <c r="F291" s="5">
        <v>7794</v>
      </c>
      <c r="G291" s="5">
        <v>0.28399999999999997</v>
      </c>
      <c r="H291" s="5">
        <v>22</v>
      </c>
      <c r="I291" s="5">
        <v>89</v>
      </c>
      <c r="J291" s="5">
        <v>0.33</v>
      </c>
      <c r="K291" s="5">
        <v>0</v>
      </c>
      <c r="L291" s="5">
        <v>4</v>
      </c>
      <c r="M291" s="15">
        <v>696261.49</v>
      </c>
      <c r="N291" s="5">
        <v>72455.350000000006</v>
      </c>
    </row>
    <row r="292" spans="1:14">
      <c r="A292" s="5" t="s">
        <v>94</v>
      </c>
      <c r="B292" s="6">
        <v>45717</v>
      </c>
      <c r="C292" s="5" t="s">
        <v>15</v>
      </c>
      <c r="D292" s="5" t="s">
        <v>16</v>
      </c>
      <c r="E292" s="15">
        <v>56737.3</v>
      </c>
      <c r="F292" s="5">
        <v>8300</v>
      </c>
      <c r="G292" s="5">
        <v>3.2000000000000001E-2</v>
      </c>
      <c r="H292" s="5">
        <v>21</v>
      </c>
      <c r="I292" s="5">
        <v>83.2</v>
      </c>
      <c r="J292" s="5">
        <v>3.44</v>
      </c>
      <c r="K292" s="5">
        <v>1</v>
      </c>
      <c r="L292" s="5">
        <v>4.3</v>
      </c>
      <c r="M292" s="15">
        <v>813316.71</v>
      </c>
      <c r="N292" s="5">
        <v>110077.42</v>
      </c>
    </row>
    <row r="293" spans="1:14">
      <c r="A293" s="5" t="s">
        <v>94</v>
      </c>
      <c r="B293" s="6">
        <v>45748</v>
      </c>
      <c r="C293" s="5" t="s">
        <v>15</v>
      </c>
      <c r="D293" s="5" t="s">
        <v>16</v>
      </c>
      <c r="E293" s="15">
        <v>54080.91</v>
      </c>
      <c r="F293" s="5">
        <v>7083</v>
      </c>
      <c r="G293" s="5">
        <v>0</v>
      </c>
      <c r="H293" s="5">
        <v>15</v>
      </c>
      <c r="I293" s="5">
        <v>97</v>
      </c>
      <c r="J293" s="5">
        <v>5.33</v>
      </c>
      <c r="K293" s="5">
        <v>0</v>
      </c>
      <c r="L293" s="5">
        <v>4.0999999999999996</v>
      </c>
      <c r="M293" s="15">
        <v>702068.92</v>
      </c>
      <c r="N293" s="5">
        <v>111266.63</v>
      </c>
    </row>
    <row r="294" spans="1:14">
      <c r="A294" s="5" t="s">
        <v>95</v>
      </c>
      <c r="B294" s="6">
        <v>45658</v>
      </c>
      <c r="C294" s="5" t="s">
        <v>27</v>
      </c>
      <c r="D294" s="5" t="s">
        <v>18</v>
      </c>
      <c r="E294" s="15">
        <v>51996.32</v>
      </c>
      <c r="F294" s="5">
        <v>3834</v>
      </c>
      <c r="G294" s="5">
        <v>9.6000000000000002E-2</v>
      </c>
      <c r="H294" s="5">
        <v>8</v>
      </c>
      <c r="I294" s="5">
        <v>86.7</v>
      </c>
      <c r="J294" s="5">
        <v>6.04</v>
      </c>
      <c r="K294" s="5">
        <v>0</v>
      </c>
      <c r="L294" s="5">
        <v>4.5</v>
      </c>
      <c r="M294" s="15">
        <v>546223.69999999995</v>
      </c>
      <c r="N294" s="5">
        <v>100769.17</v>
      </c>
    </row>
    <row r="295" spans="1:14">
      <c r="A295" s="5" t="s">
        <v>95</v>
      </c>
      <c r="B295" s="6">
        <v>45689</v>
      </c>
      <c r="C295" s="5" t="s">
        <v>27</v>
      </c>
      <c r="D295" s="5" t="s">
        <v>18</v>
      </c>
      <c r="E295" s="15">
        <v>40102.879999999997</v>
      </c>
      <c r="F295" s="5">
        <v>2358</v>
      </c>
      <c r="G295" s="5">
        <v>0.11899999999999999</v>
      </c>
      <c r="H295" s="5">
        <v>9</v>
      </c>
      <c r="I295" s="5">
        <v>88.7</v>
      </c>
      <c r="J295" s="5">
        <v>1.6</v>
      </c>
      <c r="K295" s="5">
        <v>0</v>
      </c>
      <c r="L295" s="5">
        <v>4.2</v>
      </c>
      <c r="M295" s="15">
        <v>533121.26</v>
      </c>
      <c r="N295" s="5">
        <v>55063.39</v>
      </c>
    </row>
    <row r="296" spans="1:14">
      <c r="A296" s="5" t="s">
        <v>95</v>
      </c>
      <c r="B296" s="6">
        <v>45717</v>
      </c>
      <c r="C296" s="5" t="s">
        <v>27</v>
      </c>
      <c r="D296" s="5" t="s">
        <v>18</v>
      </c>
      <c r="E296" s="15">
        <v>59825.51</v>
      </c>
      <c r="F296" s="5">
        <v>1231</v>
      </c>
      <c r="G296" s="5">
        <v>0.214</v>
      </c>
      <c r="H296" s="5">
        <v>10</v>
      </c>
      <c r="I296" s="5">
        <v>84.8</v>
      </c>
      <c r="J296" s="5">
        <v>8.9600000000000009</v>
      </c>
      <c r="K296" s="5">
        <v>0</v>
      </c>
      <c r="L296" s="5">
        <v>4.7</v>
      </c>
      <c r="M296" s="15">
        <v>498970.32</v>
      </c>
      <c r="N296" s="5">
        <v>69656.7</v>
      </c>
    </row>
    <row r="297" spans="1:14">
      <c r="A297" s="5" t="s">
        <v>95</v>
      </c>
      <c r="B297" s="6">
        <v>45748</v>
      </c>
      <c r="C297" s="5" t="s">
        <v>27</v>
      </c>
      <c r="D297" s="5" t="s">
        <v>18</v>
      </c>
      <c r="E297" s="15">
        <v>27398.28</v>
      </c>
      <c r="F297" s="5">
        <v>1723</v>
      </c>
      <c r="G297" s="5">
        <v>0.17100000000000001</v>
      </c>
      <c r="H297" s="5">
        <v>9</v>
      </c>
      <c r="I297" s="5">
        <v>81</v>
      </c>
      <c r="J297" s="5">
        <v>0.74</v>
      </c>
      <c r="K297" s="5">
        <v>0</v>
      </c>
      <c r="L297" s="5">
        <v>4.5999999999999996</v>
      </c>
      <c r="M297" s="15">
        <v>487738.26</v>
      </c>
      <c r="N297" s="5">
        <v>96435.6</v>
      </c>
    </row>
    <row r="298" spans="1:14">
      <c r="A298" s="5" t="s">
        <v>96</v>
      </c>
      <c r="B298" s="6">
        <v>45658</v>
      </c>
      <c r="C298" s="5" t="s">
        <v>27</v>
      </c>
      <c r="D298" s="5" t="s">
        <v>18</v>
      </c>
      <c r="E298" s="15">
        <v>55599.56</v>
      </c>
      <c r="F298" s="5">
        <v>5896</v>
      </c>
      <c r="G298" s="5">
        <v>3.5999999999999997E-2</v>
      </c>
      <c r="H298" s="5">
        <v>12</v>
      </c>
      <c r="I298" s="5">
        <v>93.1</v>
      </c>
      <c r="J298" s="5">
        <v>6.13</v>
      </c>
      <c r="K298" s="5">
        <v>0</v>
      </c>
      <c r="L298" s="5">
        <v>3.3</v>
      </c>
      <c r="M298" s="15">
        <v>668459.37</v>
      </c>
      <c r="N298" s="5">
        <v>126435.42</v>
      </c>
    </row>
    <row r="299" spans="1:14">
      <c r="A299" s="5" t="s">
        <v>96</v>
      </c>
      <c r="B299" s="6">
        <v>45689</v>
      </c>
      <c r="C299" s="5" t="s">
        <v>27</v>
      </c>
      <c r="D299" s="5" t="s">
        <v>18</v>
      </c>
      <c r="E299" s="15">
        <v>55477.61</v>
      </c>
      <c r="F299" s="5">
        <v>5903</v>
      </c>
      <c r="G299" s="5">
        <v>0.10199999999999999</v>
      </c>
      <c r="H299" s="5">
        <v>14</v>
      </c>
      <c r="I299" s="5">
        <v>96.2</v>
      </c>
      <c r="J299" s="5">
        <v>1.41</v>
      </c>
      <c r="K299" s="5">
        <v>0</v>
      </c>
      <c r="L299" s="5">
        <v>3.3</v>
      </c>
      <c r="M299" s="15">
        <v>763162.45</v>
      </c>
      <c r="N299" s="5">
        <v>162524.04999999999</v>
      </c>
    </row>
    <row r="300" spans="1:14">
      <c r="A300" s="5" t="s">
        <v>96</v>
      </c>
      <c r="B300" s="6">
        <v>45717</v>
      </c>
      <c r="C300" s="5" t="s">
        <v>27</v>
      </c>
      <c r="D300" s="5" t="s">
        <v>18</v>
      </c>
      <c r="E300" s="15">
        <v>46174.7</v>
      </c>
      <c r="F300" s="5">
        <v>4898</v>
      </c>
      <c r="G300" s="5">
        <v>0.114</v>
      </c>
      <c r="H300" s="5">
        <v>11</v>
      </c>
      <c r="I300" s="5">
        <v>91.7</v>
      </c>
      <c r="J300" s="5">
        <v>3.75</v>
      </c>
      <c r="K300" s="5">
        <v>0</v>
      </c>
      <c r="L300" s="5">
        <v>3.1</v>
      </c>
      <c r="M300" s="15">
        <v>599017.32999999996</v>
      </c>
      <c r="N300" s="5">
        <v>134009.92000000001</v>
      </c>
    </row>
    <row r="301" spans="1:14">
      <c r="A301" s="5" t="s">
        <v>96</v>
      </c>
      <c r="B301" s="6">
        <v>45748</v>
      </c>
      <c r="C301" s="5" t="s">
        <v>27</v>
      </c>
      <c r="D301" s="5" t="s">
        <v>18</v>
      </c>
      <c r="E301" s="15">
        <v>24362.98</v>
      </c>
      <c r="F301" s="5">
        <v>1462</v>
      </c>
      <c r="G301" s="5">
        <v>0.11700000000000001</v>
      </c>
      <c r="H301" s="5">
        <v>6</v>
      </c>
      <c r="I301" s="5">
        <v>89.3</v>
      </c>
      <c r="J301" s="5">
        <v>15.06</v>
      </c>
      <c r="K301" s="5">
        <v>0</v>
      </c>
      <c r="L301" s="5">
        <v>3.2</v>
      </c>
      <c r="M301" s="15">
        <v>401582.58</v>
      </c>
      <c r="N301" s="5">
        <v>68454.929999999993</v>
      </c>
    </row>
    <row r="302" spans="1:14">
      <c r="A302" s="5" t="s">
        <v>97</v>
      </c>
      <c r="B302" s="6">
        <v>45658</v>
      </c>
      <c r="C302" s="5" t="s">
        <v>20</v>
      </c>
      <c r="D302" s="5" t="s">
        <v>28</v>
      </c>
      <c r="E302" s="15">
        <v>40647.67</v>
      </c>
      <c r="F302" s="5">
        <v>8252</v>
      </c>
      <c r="G302" s="5">
        <v>0.14099999999999999</v>
      </c>
      <c r="H302" s="5">
        <v>22</v>
      </c>
      <c r="I302" s="5">
        <v>88.2</v>
      </c>
      <c r="J302" s="5">
        <v>5.07</v>
      </c>
      <c r="K302" s="5">
        <v>1</v>
      </c>
      <c r="L302" s="5">
        <v>4.0999999999999996</v>
      </c>
      <c r="M302" s="15">
        <v>703812.99</v>
      </c>
      <c r="N302" s="5">
        <v>133577.98000000001</v>
      </c>
    </row>
    <row r="303" spans="1:14">
      <c r="A303" s="5" t="s">
        <v>97</v>
      </c>
      <c r="B303" s="6">
        <v>45689</v>
      </c>
      <c r="C303" s="5" t="s">
        <v>20</v>
      </c>
      <c r="D303" s="5" t="s">
        <v>28</v>
      </c>
      <c r="E303" s="15">
        <v>63986.98</v>
      </c>
      <c r="F303" s="5">
        <v>7989</v>
      </c>
      <c r="G303" s="5">
        <v>7.3999999999999996E-2</v>
      </c>
      <c r="H303" s="5">
        <v>20</v>
      </c>
      <c r="I303" s="5">
        <v>83.3</v>
      </c>
      <c r="J303" s="5">
        <v>3.6</v>
      </c>
      <c r="K303" s="5">
        <v>0</v>
      </c>
      <c r="L303" s="5">
        <v>3.7</v>
      </c>
      <c r="M303" s="15">
        <v>724346.73</v>
      </c>
      <c r="N303" s="5">
        <v>155013.91</v>
      </c>
    </row>
    <row r="304" spans="1:14">
      <c r="A304" s="5" t="s">
        <v>97</v>
      </c>
      <c r="B304" s="6">
        <v>45717</v>
      </c>
      <c r="C304" s="5" t="s">
        <v>20</v>
      </c>
      <c r="D304" s="5" t="s">
        <v>28</v>
      </c>
      <c r="E304" s="15">
        <v>52843.75</v>
      </c>
      <c r="F304" s="5">
        <v>8268</v>
      </c>
      <c r="G304" s="5">
        <v>0.13800000000000001</v>
      </c>
      <c r="H304" s="5">
        <v>19</v>
      </c>
      <c r="I304" s="5">
        <v>87.3</v>
      </c>
      <c r="J304" s="5">
        <v>4.3899999999999997</v>
      </c>
      <c r="K304" s="5">
        <v>1</v>
      </c>
      <c r="L304" s="5">
        <v>4.7</v>
      </c>
      <c r="M304" s="15">
        <v>730890.01</v>
      </c>
      <c r="N304" s="5">
        <v>105502.56</v>
      </c>
    </row>
    <row r="305" spans="1:14">
      <c r="A305" s="5" t="s">
        <v>97</v>
      </c>
      <c r="B305" s="6">
        <v>45748</v>
      </c>
      <c r="C305" s="5" t="s">
        <v>20</v>
      </c>
      <c r="D305" s="5" t="s">
        <v>28</v>
      </c>
      <c r="E305" s="15">
        <v>31997.25</v>
      </c>
      <c r="F305" s="5">
        <v>8183</v>
      </c>
      <c r="G305" s="5">
        <v>0.19800000000000001</v>
      </c>
      <c r="H305" s="5">
        <v>18</v>
      </c>
      <c r="I305" s="5">
        <v>93</v>
      </c>
      <c r="J305" s="5">
        <v>2.79</v>
      </c>
      <c r="K305" s="5">
        <v>0</v>
      </c>
      <c r="L305" s="5">
        <v>4.2</v>
      </c>
      <c r="M305" s="15">
        <v>780580.95</v>
      </c>
      <c r="N305" s="5">
        <v>138144.46</v>
      </c>
    </row>
    <row r="306" spans="1:14">
      <c r="A306" s="5" t="s">
        <v>98</v>
      </c>
      <c r="B306" s="6">
        <v>45658</v>
      </c>
      <c r="C306" s="5" t="s">
        <v>24</v>
      </c>
      <c r="D306" s="5" t="s">
        <v>16</v>
      </c>
      <c r="E306" s="15">
        <v>54948.02</v>
      </c>
      <c r="F306" s="5">
        <v>6534</v>
      </c>
      <c r="G306" s="5">
        <v>0.183</v>
      </c>
      <c r="H306" s="5">
        <v>14</v>
      </c>
      <c r="I306" s="5">
        <v>94.5</v>
      </c>
      <c r="J306" s="5">
        <v>1.56</v>
      </c>
      <c r="K306" s="5">
        <v>0</v>
      </c>
      <c r="L306" s="5">
        <v>4</v>
      </c>
      <c r="M306" s="15">
        <v>727957.48</v>
      </c>
      <c r="N306" s="5">
        <v>74805.23</v>
      </c>
    </row>
    <row r="307" spans="1:14">
      <c r="A307" s="5" t="s">
        <v>98</v>
      </c>
      <c r="B307" s="6">
        <v>45689</v>
      </c>
      <c r="C307" s="5" t="s">
        <v>24</v>
      </c>
      <c r="D307" s="5" t="s">
        <v>16</v>
      </c>
      <c r="E307" s="15">
        <v>46146.239999999998</v>
      </c>
      <c r="F307" s="5">
        <v>5804</v>
      </c>
      <c r="G307" s="5">
        <v>4.7E-2</v>
      </c>
      <c r="H307" s="5">
        <v>16</v>
      </c>
      <c r="I307" s="5">
        <v>86.9</v>
      </c>
      <c r="J307" s="5">
        <v>15.82</v>
      </c>
      <c r="K307" s="5">
        <v>0</v>
      </c>
      <c r="L307" s="5">
        <v>3.8</v>
      </c>
      <c r="M307" s="15">
        <v>538376</v>
      </c>
      <c r="N307" s="5">
        <v>87605.62</v>
      </c>
    </row>
    <row r="308" spans="1:14">
      <c r="A308" s="5" t="s">
        <v>98</v>
      </c>
      <c r="B308" s="6">
        <v>45717</v>
      </c>
      <c r="C308" s="5" t="s">
        <v>24</v>
      </c>
      <c r="D308" s="5" t="s">
        <v>16</v>
      </c>
      <c r="E308" s="15">
        <v>22387.26</v>
      </c>
      <c r="F308" s="5">
        <v>6301</v>
      </c>
      <c r="G308" s="5">
        <v>0.14599999999999999</v>
      </c>
      <c r="H308" s="5">
        <v>14</v>
      </c>
      <c r="I308" s="5">
        <v>85.9</v>
      </c>
      <c r="J308" s="5">
        <v>1.17</v>
      </c>
      <c r="K308" s="5">
        <v>1</v>
      </c>
      <c r="L308" s="5">
        <v>3.7</v>
      </c>
      <c r="M308" s="15">
        <v>665342.49</v>
      </c>
      <c r="N308" s="5">
        <v>93441.81</v>
      </c>
    </row>
    <row r="309" spans="1:14">
      <c r="A309" s="5" t="s">
        <v>98</v>
      </c>
      <c r="B309" s="6">
        <v>45748</v>
      </c>
      <c r="C309" s="5" t="s">
        <v>24</v>
      </c>
      <c r="D309" s="5" t="s">
        <v>16</v>
      </c>
      <c r="E309" s="15">
        <v>60684.05</v>
      </c>
      <c r="F309" s="5">
        <v>6399</v>
      </c>
      <c r="G309" s="5">
        <v>7.4999999999999997E-2</v>
      </c>
      <c r="H309" s="5">
        <v>16</v>
      </c>
      <c r="I309" s="5">
        <v>99</v>
      </c>
      <c r="J309" s="5">
        <v>3.82</v>
      </c>
      <c r="K309" s="5">
        <v>0</v>
      </c>
      <c r="L309" s="5">
        <v>3.5</v>
      </c>
      <c r="M309" s="15">
        <v>651164.18000000005</v>
      </c>
      <c r="N309" s="5">
        <v>109466.5</v>
      </c>
    </row>
    <row r="310" spans="1:14">
      <c r="A310" s="5" t="s">
        <v>99</v>
      </c>
      <c r="B310" s="6">
        <v>45658</v>
      </c>
      <c r="C310" s="5" t="s">
        <v>24</v>
      </c>
      <c r="D310" s="5" t="s">
        <v>18</v>
      </c>
      <c r="E310" s="15">
        <v>48465.599999999999</v>
      </c>
      <c r="F310" s="5">
        <v>5759</v>
      </c>
      <c r="G310" s="5">
        <v>0.154</v>
      </c>
      <c r="H310" s="5">
        <v>13</v>
      </c>
      <c r="I310" s="5">
        <v>87.5</v>
      </c>
      <c r="J310" s="5">
        <v>4.1399999999999997</v>
      </c>
      <c r="K310" s="5">
        <v>0</v>
      </c>
      <c r="L310" s="5">
        <v>4</v>
      </c>
      <c r="M310" s="15">
        <v>628538.30000000005</v>
      </c>
      <c r="N310" s="5">
        <v>112509.15</v>
      </c>
    </row>
    <row r="311" spans="1:14">
      <c r="A311" s="5" t="s">
        <v>99</v>
      </c>
      <c r="B311" s="6">
        <v>45689</v>
      </c>
      <c r="C311" s="5" t="s">
        <v>24</v>
      </c>
      <c r="D311" s="5" t="s">
        <v>18</v>
      </c>
      <c r="E311" s="15">
        <v>23702.38</v>
      </c>
      <c r="F311" s="5">
        <v>5285</v>
      </c>
      <c r="G311" s="5">
        <v>0.16700000000000001</v>
      </c>
      <c r="H311" s="5">
        <v>14</v>
      </c>
      <c r="I311" s="5">
        <v>79.7</v>
      </c>
      <c r="J311" s="5">
        <v>1.1000000000000001</v>
      </c>
      <c r="K311" s="5">
        <v>0</v>
      </c>
      <c r="L311" s="5">
        <v>4.3</v>
      </c>
      <c r="M311" s="15">
        <v>536524.84</v>
      </c>
      <c r="N311" s="5">
        <v>92752.94</v>
      </c>
    </row>
    <row r="312" spans="1:14">
      <c r="A312" s="5" t="s">
        <v>99</v>
      </c>
      <c r="B312" s="6">
        <v>45717</v>
      </c>
      <c r="C312" s="5" t="s">
        <v>24</v>
      </c>
      <c r="D312" s="5" t="s">
        <v>18</v>
      </c>
      <c r="E312" s="15">
        <v>54322.94</v>
      </c>
      <c r="F312" s="5">
        <v>5434</v>
      </c>
      <c r="G312" s="5">
        <v>0.2</v>
      </c>
      <c r="H312" s="5">
        <v>13</v>
      </c>
      <c r="I312" s="5">
        <v>85.7</v>
      </c>
      <c r="J312" s="5">
        <v>10.6</v>
      </c>
      <c r="K312" s="5">
        <v>0</v>
      </c>
      <c r="L312" s="5">
        <v>4.2</v>
      </c>
      <c r="M312" s="15">
        <v>621677.30000000005</v>
      </c>
      <c r="N312" s="5">
        <v>105192.52</v>
      </c>
    </row>
    <row r="313" spans="1:14">
      <c r="A313" s="5" t="s">
        <v>99</v>
      </c>
      <c r="B313" s="6">
        <v>45748</v>
      </c>
      <c r="C313" s="5" t="s">
        <v>24</v>
      </c>
      <c r="D313" s="5" t="s">
        <v>18</v>
      </c>
      <c r="E313" s="15">
        <v>86026.58</v>
      </c>
      <c r="F313" s="5">
        <v>7479</v>
      </c>
      <c r="G313" s="5">
        <v>0.14199999999999999</v>
      </c>
      <c r="H313" s="5">
        <v>20</v>
      </c>
      <c r="I313" s="5">
        <v>89</v>
      </c>
      <c r="J313" s="5">
        <v>0.9</v>
      </c>
      <c r="K313" s="5">
        <v>0</v>
      </c>
      <c r="L313" s="5">
        <v>3.8</v>
      </c>
      <c r="M313" s="15">
        <v>771129.07</v>
      </c>
      <c r="N313" s="5">
        <v>116851.13</v>
      </c>
    </row>
    <row r="314" spans="1:14">
      <c r="A314" s="5" t="s">
        <v>100</v>
      </c>
      <c r="B314" s="6">
        <v>45658</v>
      </c>
      <c r="C314" s="5" t="s">
        <v>20</v>
      </c>
      <c r="D314" s="5" t="s">
        <v>16</v>
      </c>
      <c r="E314" s="15">
        <v>78967.520000000004</v>
      </c>
      <c r="F314" s="5">
        <v>6164</v>
      </c>
      <c r="G314" s="5">
        <v>2.1000000000000001E-2</v>
      </c>
      <c r="H314" s="5">
        <v>16</v>
      </c>
      <c r="I314" s="5">
        <v>85.5</v>
      </c>
      <c r="J314" s="5">
        <v>0.2</v>
      </c>
      <c r="K314" s="5">
        <v>0</v>
      </c>
      <c r="L314" s="5">
        <v>3.4</v>
      </c>
      <c r="M314" s="15">
        <v>702052.47</v>
      </c>
      <c r="N314" s="5">
        <v>121732.51</v>
      </c>
    </row>
    <row r="315" spans="1:14">
      <c r="A315" s="5" t="s">
        <v>100</v>
      </c>
      <c r="B315" s="6">
        <v>45689</v>
      </c>
      <c r="C315" s="5" t="s">
        <v>20</v>
      </c>
      <c r="D315" s="5" t="s">
        <v>16</v>
      </c>
      <c r="E315" s="15">
        <v>46767.99</v>
      </c>
      <c r="F315" s="5">
        <v>7973</v>
      </c>
      <c r="G315" s="5">
        <v>0.183</v>
      </c>
      <c r="H315" s="5">
        <v>18</v>
      </c>
      <c r="I315" s="5">
        <v>94.8</v>
      </c>
      <c r="J315" s="5">
        <v>4.67</v>
      </c>
      <c r="K315" s="5">
        <v>0</v>
      </c>
      <c r="L315" s="5">
        <v>3.9</v>
      </c>
      <c r="M315" s="15">
        <v>688368.46</v>
      </c>
      <c r="N315" s="5">
        <v>93588.42</v>
      </c>
    </row>
    <row r="316" spans="1:14">
      <c r="A316" s="5" t="s">
        <v>100</v>
      </c>
      <c r="B316" s="6">
        <v>45717</v>
      </c>
      <c r="C316" s="5" t="s">
        <v>20</v>
      </c>
      <c r="D316" s="5" t="s">
        <v>16</v>
      </c>
      <c r="E316" s="15">
        <v>62507.16</v>
      </c>
      <c r="F316" s="5">
        <v>6000</v>
      </c>
      <c r="G316" s="5">
        <v>9.0999999999999998E-2</v>
      </c>
      <c r="H316" s="5">
        <v>14</v>
      </c>
      <c r="I316" s="5">
        <v>98.2</v>
      </c>
      <c r="J316" s="5">
        <v>4.38</v>
      </c>
      <c r="K316" s="5">
        <v>1</v>
      </c>
      <c r="L316" s="5">
        <v>3.9</v>
      </c>
      <c r="M316" s="15">
        <v>712375.77</v>
      </c>
      <c r="N316" s="5">
        <v>104171.53</v>
      </c>
    </row>
    <row r="317" spans="1:14">
      <c r="A317" s="5" t="s">
        <v>100</v>
      </c>
      <c r="B317" s="6">
        <v>45748</v>
      </c>
      <c r="C317" s="5" t="s">
        <v>20</v>
      </c>
      <c r="D317" s="5" t="s">
        <v>16</v>
      </c>
      <c r="E317" s="15">
        <v>66456.28</v>
      </c>
      <c r="F317" s="5">
        <v>9967</v>
      </c>
      <c r="G317" s="5">
        <v>0.108</v>
      </c>
      <c r="H317" s="5">
        <v>20</v>
      </c>
      <c r="I317" s="5">
        <v>94.7</v>
      </c>
      <c r="J317" s="5">
        <v>4.4800000000000004</v>
      </c>
      <c r="K317" s="5">
        <v>0</v>
      </c>
      <c r="L317" s="5">
        <v>4.2</v>
      </c>
      <c r="M317" s="15">
        <v>844710.67</v>
      </c>
      <c r="N317" s="5">
        <v>137140.18</v>
      </c>
    </row>
    <row r="318" spans="1:14">
      <c r="A318" s="5" t="s">
        <v>101</v>
      </c>
      <c r="B318" s="6">
        <v>45658</v>
      </c>
      <c r="C318" s="5" t="s">
        <v>15</v>
      </c>
      <c r="D318" s="5" t="s">
        <v>16</v>
      </c>
      <c r="E318" s="15">
        <v>76614.320000000007</v>
      </c>
      <c r="F318" s="5">
        <v>5639</v>
      </c>
      <c r="G318" s="5">
        <v>0.17399999999999999</v>
      </c>
      <c r="H318" s="5">
        <v>15</v>
      </c>
      <c r="I318" s="5">
        <v>92.9</v>
      </c>
      <c r="J318" s="5">
        <v>1.02</v>
      </c>
      <c r="K318" s="5">
        <v>1</v>
      </c>
      <c r="L318" s="5">
        <v>4</v>
      </c>
      <c r="M318" s="15">
        <v>620264.19999999995</v>
      </c>
      <c r="N318" s="5">
        <v>91365.64</v>
      </c>
    </row>
    <row r="319" spans="1:14">
      <c r="A319" s="5" t="s">
        <v>101</v>
      </c>
      <c r="B319" s="6">
        <v>45689</v>
      </c>
      <c r="C319" s="5" t="s">
        <v>15</v>
      </c>
      <c r="D319" s="5" t="s">
        <v>16</v>
      </c>
      <c r="E319" s="15">
        <v>24088.06</v>
      </c>
      <c r="F319" s="5">
        <v>3466</v>
      </c>
      <c r="G319" s="5">
        <v>0</v>
      </c>
      <c r="H319" s="5">
        <v>11</v>
      </c>
      <c r="I319" s="5">
        <v>88</v>
      </c>
      <c r="J319" s="5">
        <v>0.2</v>
      </c>
      <c r="K319" s="5">
        <v>0</v>
      </c>
      <c r="L319" s="5">
        <v>3.8</v>
      </c>
      <c r="M319" s="15">
        <v>536845.42000000004</v>
      </c>
      <c r="N319" s="5">
        <v>107473.75</v>
      </c>
    </row>
    <row r="320" spans="1:14">
      <c r="A320" s="5" t="s">
        <v>101</v>
      </c>
      <c r="B320" s="6">
        <v>45717</v>
      </c>
      <c r="C320" s="5" t="s">
        <v>15</v>
      </c>
      <c r="D320" s="5" t="s">
        <v>16</v>
      </c>
      <c r="E320" s="15">
        <v>81902.58</v>
      </c>
      <c r="F320" s="5">
        <v>7775</v>
      </c>
      <c r="G320" s="5">
        <v>0.215</v>
      </c>
      <c r="H320" s="5">
        <v>20</v>
      </c>
      <c r="I320" s="5">
        <v>85.2</v>
      </c>
      <c r="J320" s="5">
        <v>4.8899999999999997</v>
      </c>
      <c r="K320" s="5">
        <v>1</v>
      </c>
      <c r="L320" s="5">
        <v>4.2</v>
      </c>
      <c r="M320" s="15">
        <v>726776.22</v>
      </c>
      <c r="N320" s="5">
        <v>90804.49</v>
      </c>
    </row>
    <row r="321" spans="1:14">
      <c r="A321" s="5" t="s">
        <v>101</v>
      </c>
      <c r="B321" s="6">
        <v>45748</v>
      </c>
      <c r="C321" s="5" t="s">
        <v>15</v>
      </c>
      <c r="D321" s="5" t="s">
        <v>16</v>
      </c>
      <c r="E321" s="15">
        <v>40553.11</v>
      </c>
      <c r="F321" s="5">
        <v>5317</v>
      </c>
      <c r="G321" s="5">
        <v>0.16500000000000001</v>
      </c>
      <c r="H321" s="5">
        <v>17</v>
      </c>
      <c r="I321" s="5">
        <v>84.3</v>
      </c>
      <c r="J321" s="5">
        <v>11.82</v>
      </c>
      <c r="K321" s="5">
        <v>0</v>
      </c>
      <c r="L321" s="5">
        <v>4.0999999999999996</v>
      </c>
      <c r="M321" s="15">
        <v>559660.84</v>
      </c>
      <c r="N321" s="5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E02E-A1DB-4D58-BADB-5C40B30717A3}">
  <dimension ref="A1:S321"/>
  <sheetViews>
    <sheetView workbookViewId="0">
      <selection activeCell="Q6" sqref="Q6"/>
    </sheetView>
  </sheetViews>
  <sheetFormatPr defaultRowHeight="14.25"/>
  <cols>
    <col min="1" max="1" width="16.625" customWidth="1"/>
    <col min="2" max="2" width="16.75" customWidth="1"/>
    <col min="3" max="3" width="9.375" customWidth="1"/>
    <col min="4" max="4" width="16.5" customWidth="1"/>
    <col min="5" max="5" width="12.375" customWidth="1"/>
    <col min="6" max="6" width="13.625" customWidth="1"/>
    <col min="7" max="7" width="12.75" customWidth="1"/>
    <col min="8" max="8" width="11.25" customWidth="1"/>
    <col min="9" max="9" width="10.125" customWidth="1"/>
  </cols>
  <sheetData>
    <row r="1" spans="1:19" ht="45">
      <c r="A1" s="7" t="s">
        <v>12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t="s">
        <v>128</v>
      </c>
      <c r="K1" t="s">
        <v>129</v>
      </c>
      <c r="L1" t="s">
        <v>130</v>
      </c>
      <c r="M1" t="s">
        <v>124</v>
      </c>
      <c r="N1" t="s">
        <v>125</v>
      </c>
      <c r="O1" t="s">
        <v>126</v>
      </c>
    </row>
    <row r="2" spans="1:19" ht="15">
      <c r="A2" s="13">
        <v>658832.62</v>
      </c>
      <c r="B2" s="14">
        <v>70389.11</v>
      </c>
      <c r="C2" s="14">
        <v>8302</v>
      </c>
      <c r="D2" s="14">
        <v>4.2000000000000003E-2</v>
      </c>
      <c r="E2" s="14">
        <v>17</v>
      </c>
      <c r="F2" s="14">
        <v>75</v>
      </c>
      <c r="G2" s="14">
        <v>5.28</v>
      </c>
      <c r="H2" s="14">
        <v>1</v>
      </c>
      <c r="I2" s="14">
        <v>3.1</v>
      </c>
      <c r="J2" s="21">
        <f>IF('Cleaned Data'!C2 = "East", 1, 0)</f>
        <v>1</v>
      </c>
      <c r="K2" s="21">
        <f>IF('Cleaned Data'!C2 = "West", 1, 0)</f>
        <v>0</v>
      </c>
      <c r="L2" s="21">
        <f>IF('Cleaned Data'!C2 = "North", 1, 0)</f>
        <v>0</v>
      </c>
      <c r="M2" s="21">
        <f>IF('Cleaned Data'!D2 = "Airport", 1, 0)</f>
        <v>0</v>
      </c>
      <c r="N2" s="21">
        <f>IF('Cleaned Data'!D2 = "High Street", 1,0)</f>
        <v>0</v>
      </c>
      <c r="O2" s="21">
        <f>IF('Cleaned Data'!D2 = "Mall", 1,0)</f>
        <v>0</v>
      </c>
      <c r="Q2" s="18" t="s">
        <v>166</v>
      </c>
    </row>
    <row r="3" spans="1:19">
      <c r="A3" s="13">
        <v>634436</v>
      </c>
      <c r="B3" s="14">
        <v>43827.89</v>
      </c>
      <c r="C3" s="14">
        <v>8487</v>
      </c>
      <c r="D3" s="14">
        <v>0.16800000000000001</v>
      </c>
      <c r="E3" s="14">
        <v>23</v>
      </c>
      <c r="F3" s="14">
        <v>84.4</v>
      </c>
      <c r="G3" s="14">
        <v>4.3099999999999996</v>
      </c>
      <c r="H3" s="14">
        <v>0</v>
      </c>
      <c r="I3" s="14">
        <v>2.8</v>
      </c>
      <c r="J3" s="21">
        <f>IF('Cleaned Data'!C3 = "East", 1, 0)</f>
        <v>1</v>
      </c>
      <c r="K3" s="21">
        <f>IF('Cleaned Data'!C3 = "West", 1, 0)</f>
        <v>0</v>
      </c>
      <c r="L3" s="21">
        <f>IF('Cleaned Data'!C3 = "North", 1, 0)</f>
        <v>0</v>
      </c>
      <c r="M3" s="21">
        <f>IF('Cleaned Data'!D3 = "Airport", 1, 0)</f>
        <v>0</v>
      </c>
      <c r="N3" s="21">
        <f>IF('Cleaned Data'!D3 = "High Street", 1,0)</f>
        <v>0</v>
      </c>
      <c r="O3" s="21">
        <f>IF('Cleaned Data'!D3 = "Mall", 1,0)</f>
        <v>0</v>
      </c>
      <c r="Q3" s="19" t="s">
        <v>167</v>
      </c>
      <c r="R3" s="19"/>
      <c r="S3" s="19"/>
    </row>
    <row r="4" spans="1:19">
      <c r="A4" s="13">
        <v>678722.06</v>
      </c>
      <c r="B4" s="14">
        <v>59921.75</v>
      </c>
      <c r="C4" s="14">
        <v>9113</v>
      </c>
      <c r="D4" s="14">
        <v>0.13300000000000001</v>
      </c>
      <c r="E4" s="14">
        <v>20</v>
      </c>
      <c r="F4" s="14">
        <v>88</v>
      </c>
      <c r="G4" s="14">
        <v>12</v>
      </c>
      <c r="H4" s="14">
        <v>0</v>
      </c>
      <c r="I4" s="14">
        <v>3.2</v>
      </c>
      <c r="J4" s="21">
        <f>IF('Cleaned Data'!C4 = "East", 1, 0)</f>
        <v>1</v>
      </c>
      <c r="K4" s="21">
        <f>IF('Cleaned Data'!C4 = "West", 1, 0)</f>
        <v>0</v>
      </c>
      <c r="L4" s="21">
        <f>IF('Cleaned Data'!C4 = "North", 1, 0)</f>
        <v>0</v>
      </c>
      <c r="M4" s="21">
        <f>IF('Cleaned Data'!D4 = "Airport", 1, 0)</f>
        <v>0</v>
      </c>
      <c r="N4" s="21">
        <f>IF('Cleaned Data'!D4 = "High Street", 1,0)</f>
        <v>0</v>
      </c>
      <c r="O4" s="21">
        <f>IF('Cleaned Data'!D4 = "Mall", 1,0)</f>
        <v>0</v>
      </c>
      <c r="Q4" s="20" t="s">
        <v>168</v>
      </c>
      <c r="R4" s="20"/>
      <c r="S4" s="20"/>
    </row>
    <row r="5" spans="1:19">
      <c r="A5" s="13">
        <v>658920.30000000005</v>
      </c>
      <c r="B5" s="14">
        <v>56856.63</v>
      </c>
      <c r="C5" s="14">
        <v>9431</v>
      </c>
      <c r="D5" s="14">
        <v>0.14199999999999999</v>
      </c>
      <c r="E5" s="14">
        <v>23</v>
      </c>
      <c r="F5" s="14">
        <v>86.9</v>
      </c>
      <c r="G5" s="14">
        <v>4.97</v>
      </c>
      <c r="H5" s="14">
        <v>0</v>
      </c>
      <c r="I5" s="14">
        <v>3.4</v>
      </c>
      <c r="J5" s="21">
        <f>IF('Cleaned Data'!C5 = "East", 1, 0)</f>
        <v>1</v>
      </c>
      <c r="K5" s="21">
        <f>IF('Cleaned Data'!C5 = "West", 1, 0)</f>
        <v>0</v>
      </c>
      <c r="L5" s="21">
        <f>IF('Cleaned Data'!C5 = "North", 1, 0)</f>
        <v>0</v>
      </c>
      <c r="M5" s="21">
        <f>IF('Cleaned Data'!D5 = "Airport", 1, 0)</f>
        <v>0</v>
      </c>
      <c r="N5" s="21">
        <f>IF('Cleaned Data'!D5 = "High Street", 1,0)</f>
        <v>0</v>
      </c>
      <c r="O5" s="21">
        <f>IF('Cleaned Data'!D5 = "Mall", 1,0)</f>
        <v>0</v>
      </c>
      <c r="Q5" s="21" t="s">
        <v>169</v>
      </c>
      <c r="R5" s="21"/>
      <c r="S5" s="21"/>
    </row>
    <row r="6" spans="1:19">
      <c r="A6" s="13">
        <v>741341.44</v>
      </c>
      <c r="B6" s="14">
        <v>48412.639999999999</v>
      </c>
      <c r="C6" s="14">
        <v>9545</v>
      </c>
      <c r="D6" s="14">
        <v>0.23100000000000001</v>
      </c>
      <c r="E6" s="14">
        <v>21</v>
      </c>
      <c r="F6" s="14">
        <v>97.6</v>
      </c>
      <c r="G6" s="14">
        <v>6.94</v>
      </c>
      <c r="H6" s="14">
        <v>1</v>
      </c>
      <c r="I6" s="14">
        <v>4.2</v>
      </c>
      <c r="J6" s="21">
        <f>IF('Cleaned Data'!C6 = "East", 1, 0)</f>
        <v>1</v>
      </c>
      <c r="K6" s="21">
        <f>IF('Cleaned Data'!C6 = "West", 1, 0)</f>
        <v>0</v>
      </c>
      <c r="L6" s="21">
        <f>IF('Cleaned Data'!C6 = "North", 1, 0)</f>
        <v>0</v>
      </c>
      <c r="M6" s="21">
        <f>IF('Cleaned Data'!D6 = "Airport", 1, 0)</f>
        <v>0</v>
      </c>
      <c r="N6" s="21">
        <f>IF('Cleaned Data'!D6 = "High Street", 1,0)</f>
        <v>1</v>
      </c>
      <c r="O6" s="21">
        <f>IF('Cleaned Data'!D6 = "Mall", 1,0)</f>
        <v>0</v>
      </c>
    </row>
    <row r="7" spans="1:19">
      <c r="A7" s="13">
        <v>761835.34</v>
      </c>
      <c r="B7" s="14">
        <v>64811.21</v>
      </c>
      <c r="C7" s="14">
        <v>9792</v>
      </c>
      <c r="D7" s="14">
        <v>0.112</v>
      </c>
      <c r="E7" s="14">
        <v>20</v>
      </c>
      <c r="F7" s="14">
        <v>84.2</v>
      </c>
      <c r="G7" s="14">
        <v>2.88</v>
      </c>
      <c r="H7" s="14">
        <v>0</v>
      </c>
      <c r="I7" s="14">
        <v>4.2</v>
      </c>
      <c r="J7" s="21">
        <f>IF('Cleaned Data'!C7 = "East", 1, 0)</f>
        <v>1</v>
      </c>
      <c r="K7" s="21">
        <f>IF('Cleaned Data'!C7 = "West", 1, 0)</f>
        <v>0</v>
      </c>
      <c r="L7" s="21">
        <f>IF('Cleaned Data'!C7 = "North", 1, 0)</f>
        <v>0</v>
      </c>
      <c r="M7" s="21">
        <f>IF('Cleaned Data'!D7 = "Airport", 1, 0)</f>
        <v>0</v>
      </c>
      <c r="N7" s="21">
        <f>IF('Cleaned Data'!D7 = "High Street", 1,0)</f>
        <v>1</v>
      </c>
      <c r="O7" s="21">
        <f>IF('Cleaned Data'!D7 = "Mall", 1,0)</f>
        <v>0</v>
      </c>
    </row>
    <row r="8" spans="1:19">
      <c r="A8" s="13">
        <v>806615.54</v>
      </c>
      <c r="B8" s="14">
        <v>46213.45</v>
      </c>
      <c r="C8" s="14">
        <v>10616</v>
      </c>
      <c r="D8" s="14">
        <v>0.122</v>
      </c>
      <c r="E8" s="14">
        <v>22</v>
      </c>
      <c r="F8" s="14">
        <v>85.2</v>
      </c>
      <c r="G8" s="14">
        <v>0.2</v>
      </c>
      <c r="H8" s="14">
        <v>1</v>
      </c>
      <c r="I8" s="14">
        <v>4.0999999999999996</v>
      </c>
      <c r="J8" s="21">
        <f>IF('Cleaned Data'!C8 = "East", 1, 0)</f>
        <v>1</v>
      </c>
      <c r="K8" s="21">
        <f>IF('Cleaned Data'!C8 = "West", 1, 0)</f>
        <v>0</v>
      </c>
      <c r="L8" s="21">
        <f>IF('Cleaned Data'!C8 = "North", 1, 0)</f>
        <v>0</v>
      </c>
      <c r="M8" s="21">
        <f>IF('Cleaned Data'!D8 = "Airport", 1, 0)</f>
        <v>0</v>
      </c>
      <c r="N8" s="21">
        <f>IF('Cleaned Data'!D8 = "High Street", 1,0)</f>
        <v>1</v>
      </c>
      <c r="O8" s="21">
        <f>IF('Cleaned Data'!D8 = "Mall", 1,0)</f>
        <v>0</v>
      </c>
    </row>
    <row r="9" spans="1:19">
      <c r="A9" s="13">
        <v>850164.26</v>
      </c>
      <c r="B9" s="14">
        <v>68148.52</v>
      </c>
      <c r="C9" s="14">
        <v>8567</v>
      </c>
      <c r="D9" s="14">
        <v>0.127</v>
      </c>
      <c r="E9" s="14">
        <v>23</v>
      </c>
      <c r="F9" s="14">
        <v>95.6</v>
      </c>
      <c r="G9" s="14">
        <v>0.8</v>
      </c>
      <c r="H9" s="14">
        <v>0</v>
      </c>
      <c r="I9" s="14">
        <v>3.9</v>
      </c>
      <c r="J9" s="21">
        <f>IF('Cleaned Data'!C9 = "East", 1, 0)</f>
        <v>1</v>
      </c>
      <c r="K9" s="21">
        <f>IF('Cleaned Data'!C9 = "West", 1, 0)</f>
        <v>0</v>
      </c>
      <c r="L9" s="21">
        <f>IF('Cleaned Data'!C9 = "North", 1, 0)</f>
        <v>0</v>
      </c>
      <c r="M9" s="21">
        <f>IF('Cleaned Data'!D9 = "Airport", 1, 0)</f>
        <v>0</v>
      </c>
      <c r="N9" s="21">
        <f>IF('Cleaned Data'!D9 = "High Street", 1,0)</f>
        <v>1</v>
      </c>
      <c r="O9" s="21">
        <f>IF('Cleaned Data'!D9 = "Mall", 1,0)</f>
        <v>0</v>
      </c>
    </row>
    <row r="10" spans="1:19">
      <c r="A10" s="13">
        <v>930581.7</v>
      </c>
      <c r="B10" s="14">
        <v>71838.86</v>
      </c>
      <c r="C10" s="14">
        <v>10979</v>
      </c>
      <c r="D10" s="14">
        <v>0.215</v>
      </c>
      <c r="E10" s="14">
        <v>26</v>
      </c>
      <c r="F10" s="14">
        <v>88.6</v>
      </c>
      <c r="G10" s="14">
        <v>7.7</v>
      </c>
      <c r="H10" s="14">
        <v>1</v>
      </c>
      <c r="I10" s="14">
        <v>3.8</v>
      </c>
      <c r="J10" s="21">
        <f>IF('Cleaned Data'!C10 = "East", 1, 0)</f>
        <v>0</v>
      </c>
      <c r="K10" s="21">
        <f>IF('Cleaned Data'!C10 = "West", 1, 0)</f>
        <v>0</v>
      </c>
      <c r="L10" s="21">
        <f>IF('Cleaned Data'!C10 = "North", 1, 0)</f>
        <v>1</v>
      </c>
      <c r="M10" s="21">
        <f>IF('Cleaned Data'!D10 = "Airport", 1, 0)</f>
        <v>1</v>
      </c>
      <c r="N10" s="21">
        <f>IF('Cleaned Data'!D10 = "High Street", 1,0)</f>
        <v>0</v>
      </c>
      <c r="O10" s="21">
        <f>IF('Cleaned Data'!D10 = "Mall", 1,0)</f>
        <v>0</v>
      </c>
    </row>
    <row r="11" spans="1:19">
      <c r="A11" s="13">
        <v>779010.94</v>
      </c>
      <c r="B11" s="14">
        <v>68133.440000000002</v>
      </c>
      <c r="C11" s="14">
        <v>9459</v>
      </c>
      <c r="D11" s="14">
        <v>0.22</v>
      </c>
      <c r="E11" s="14">
        <v>21</v>
      </c>
      <c r="F11" s="14">
        <v>85</v>
      </c>
      <c r="G11" s="14">
        <v>1.91</v>
      </c>
      <c r="H11" s="14">
        <v>0</v>
      </c>
      <c r="I11" s="14">
        <v>4.2</v>
      </c>
      <c r="J11" s="21">
        <f>IF('Cleaned Data'!C11 = "East", 1, 0)</f>
        <v>0</v>
      </c>
      <c r="K11" s="21">
        <f>IF('Cleaned Data'!C11 = "West", 1, 0)</f>
        <v>0</v>
      </c>
      <c r="L11" s="21">
        <f>IF('Cleaned Data'!C11 = "North", 1, 0)</f>
        <v>1</v>
      </c>
      <c r="M11" s="21">
        <f>IF('Cleaned Data'!D11 = "Airport", 1, 0)</f>
        <v>1</v>
      </c>
      <c r="N11" s="21">
        <f>IF('Cleaned Data'!D11 = "High Street", 1,0)</f>
        <v>0</v>
      </c>
      <c r="O11" s="21">
        <f>IF('Cleaned Data'!D11 = "Mall", 1,0)</f>
        <v>0</v>
      </c>
    </row>
    <row r="12" spans="1:19">
      <c r="A12" s="13">
        <v>723060.76</v>
      </c>
      <c r="B12" s="14">
        <v>34285.21</v>
      </c>
      <c r="C12" s="14">
        <v>9172</v>
      </c>
      <c r="D12" s="14">
        <v>0.21299999999999999</v>
      </c>
      <c r="E12" s="14">
        <v>22</v>
      </c>
      <c r="F12" s="14">
        <v>88.3</v>
      </c>
      <c r="G12" s="14">
        <v>10.46</v>
      </c>
      <c r="H12" s="14">
        <v>1</v>
      </c>
      <c r="I12" s="14">
        <v>3.8</v>
      </c>
      <c r="J12" s="21">
        <f>IF('Cleaned Data'!C12 = "East", 1, 0)</f>
        <v>0</v>
      </c>
      <c r="K12" s="21">
        <f>IF('Cleaned Data'!C12 = "West", 1, 0)</f>
        <v>0</v>
      </c>
      <c r="L12" s="21">
        <f>IF('Cleaned Data'!C12 = "North", 1, 0)</f>
        <v>1</v>
      </c>
      <c r="M12" s="21">
        <f>IF('Cleaned Data'!D12 = "Airport", 1, 0)</f>
        <v>1</v>
      </c>
      <c r="N12" s="21">
        <f>IF('Cleaned Data'!D12 = "High Street", 1,0)</f>
        <v>0</v>
      </c>
      <c r="O12" s="21">
        <f>IF('Cleaned Data'!D12 = "Mall", 1,0)</f>
        <v>0</v>
      </c>
    </row>
    <row r="13" spans="1:19">
      <c r="A13" s="13">
        <v>910791.94</v>
      </c>
      <c r="B13" s="14">
        <v>67979.88</v>
      </c>
      <c r="C13" s="14">
        <v>11230</v>
      </c>
      <c r="D13" s="14">
        <v>2E-3</v>
      </c>
      <c r="E13" s="14">
        <v>28</v>
      </c>
      <c r="F13" s="14">
        <v>85.3</v>
      </c>
      <c r="G13" s="14">
        <v>7.16</v>
      </c>
      <c r="H13" s="14">
        <v>0</v>
      </c>
      <c r="I13" s="14">
        <v>3.8</v>
      </c>
      <c r="J13" s="21">
        <f>IF('Cleaned Data'!C13 = "East", 1, 0)</f>
        <v>0</v>
      </c>
      <c r="K13" s="21">
        <f>IF('Cleaned Data'!C13 = "West", 1, 0)</f>
        <v>0</v>
      </c>
      <c r="L13" s="21">
        <f>IF('Cleaned Data'!C13 = "North", 1, 0)</f>
        <v>1</v>
      </c>
      <c r="M13" s="21">
        <f>IF('Cleaned Data'!D13 = "Airport", 1, 0)</f>
        <v>1</v>
      </c>
      <c r="N13" s="21">
        <f>IF('Cleaned Data'!D13 = "High Street", 1,0)</f>
        <v>0</v>
      </c>
      <c r="O13" s="21">
        <f>IF('Cleaned Data'!D13 = "Mall", 1,0)</f>
        <v>0</v>
      </c>
    </row>
    <row r="14" spans="1:19">
      <c r="A14" s="13">
        <v>922168.6</v>
      </c>
      <c r="B14" s="14">
        <v>71828.259999999995</v>
      </c>
      <c r="C14" s="14">
        <v>12775</v>
      </c>
      <c r="D14" s="14">
        <v>0.11600000000000001</v>
      </c>
      <c r="E14" s="14">
        <v>30</v>
      </c>
      <c r="F14" s="14">
        <v>81.7</v>
      </c>
      <c r="G14" s="14">
        <v>4.24</v>
      </c>
      <c r="H14" s="14">
        <v>1</v>
      </c>
      <c r="I14" s="14">
        <v>4.2</v>
      </c>
      <c r="J14" s="21">
        <f>IF('Cleaned Data'!C14 = "East", 1, 0)</f>
        <v>1</v>
      </c>
      <c r="K14" s="21">
        <f>IF('Cleaned Data'!C14 = "West", 1, 0)</f>
        <v>0</v>
      </c>
      <c r="L14" s="21">
        <f>IF('Cleaned Data'!C14 = "North", 1, 0)</f>
        <v>0</v>
      </c>
      <c r="M14" s="21">
        <f>IF('Cleaned Data'!D14 = "Airport", 1, 0)</f>
        <v>0</v>
      </c>
      <c r="N14" s="21">
        <f>IF('Cleaned Data'!D14 = "High Street", 1,0)</f>
        <v>0</v>
      </c>
      <c r="O14" s="21">
        <f>IF('Cleaned Data'!D14 = "Mall", 1,0)</f>
        <v>0</v>
      </c>
    </row>
    <row r="15" spans="1:19">
      <c r="A15" s="13">
        <v>726606.28</v>
      </c>
      <c r="B15" s="14">
        <v>55716.82</v>
      </c>
      <c r="C15" s="14">
        <v>10054</v>
      </c>
      <c r="D15" s="14">
        <v>0.14599999999999999</v>
      </c>
      <c r="E15" s="14">
        <v>24</v>
      </c>
      <c r="F15" s="14">
        <v>84.9</v>
      </c>
      <c r="G15" s="14">
        <v>1.06</v>
      </c>
      <c r="H15" s="14">
        <v>0</v>
      </c>
      <c r="I15" s="14">
        <v>4.3</v>
      </c>
      <c r="J15" s="21">
        <f>IF('Cleaned Data'!C15 = "East", 1, 0)</f>
        <v>1</v>
      </c>
      <c r="K15" s="21">
        <f>IF('Cleaned Data'!C15 = "West", 1, 0)</f>
        <v>0</v>
      </c>
      <c r="L15" s="21">
        <f>IF('Cleaned Data'!C15 = "North", 1, 0)</f>
        <v>0</v>
      </c>
      <c r="M15" s="21">
        <f>IF('Cleaned Data'!D15 = "Airport", 1, 0)</f>
        <v>0</v>
      </c>
      <c r="N15" s="21">
        <f>IF('Cleaned Data'!D15 = "High Street", 1,0)</f>
        <v>0</v>
      </c>
      <c r="O15" s="21">
        <f>IF('Cleaned Data'!D15 = "Mall", 1,0)</f>
        <v>0</v>
      </c>
    </row>
    <row r="16" spans="1:19">
      <c r="A16" s="13">
        <v>746501.09</v>
      </c>
      <c r="B16" s="14">
        <v>59909.51</v>
      </c>
      <c r="C16" s="14">
        <v>8895</v>
      </c>
      <c r="D16" s="14">
        <v>0.22800000000000001</v>
      </c>
      <c r="E16" s="14">
        <v>23</v>
      </c>
      <c r="F16" s="14">
        <v>88.8</v>
      </c>
      <c r="G16" s="14">
        <v>0.27</v>
      </c>
      <c r="H16" s="14">
        <v>0</v>
      </c>
      <c r="I16" s="14">
        <v>4.3</v>
      </c>
      <c r="J16" s="21">
        <f>IF('Cleaned Data'!C16 = "East", 1, 0)</f>
        <v>1</v>
      </c>
      <c r="K16" s="21">
        <f>IF('Cleaned Data'!C16 = "West", 1, 0)</f>
        <v>0</v>
      </c>
      <c r="L16" s="21">
        <f>IF('Cleaned Data'!C16 = "North", 1, 0)</f>
        <v>0</v>
      </c>
      <c r="M16" s="21">
        <f>IF('Cleaned Data'!D16 = "Airport", 1, 0)</f>
        <v>0</v>
      </c>
      <c r="N16" s="21">
        <f>IF('Cleaned Data'!D16 = "High Street", 1,0)</f>
        <v>0</v>
      </c>
      <c r="O16" s="21">
        <f>IF('Cleaned Data'!D16 = "Mall", 1,0)</f>
        <v>0</v>
      </c>
    </row>
    <row r="17" spans="1:15">
      <c r="A17" s="13">
        <v>834017.02</v>
      </c>
      <c r="B17" s="14">
        <v>75305.710000000006</v>
      </c>
      <c r="C17" s="14">
        <v>10940</v>
      </c>
      <c r="D17" s="14">
        <v>6.0000000000000001E-3</v>
      </c>
      <c r="E17" s="14">
        <v>26</v>
      </c>
      <c r="F17" s="14">
        <v>76.5</v>
      </c>
      <c r="G17" s="14">
        <v>1.32</v>
      </c>
      <c r="H17" s="14">
        <v>0</v>
      </c>
      <c r="I17" s="14">
        <v>4.5</v>
      </c>
      <c r="J17" s="21">
        <f>IF('Cleaned Data'!C17 = "East", 1, 0)</f>
        <v>1</v>
      </c>
      <c r="K17" s="21">
        <f>IF('Cleaned Data'!C17 = "West", 1, 0)</f>
        <v>0</v>
      </c>
      <c r="L17" s="21">
        <f>IF('Cleaned Data'!C17 = "North", 1, 0)</f>
        <v>0</v>
      </c>
      <c r="M17" s="21">
        <f>IF('Cleaned Data'!D17 = "Airport", 1, 0)</f>
        <v>0</v>
      </c>
      <c r="N17" s="21">
        <f>IF('Cleaned Data'!D17 = "High Street", 1,0)</f>
        <v>0</v>
      </c>
      <c r="O17" s="21">
        <f>IF('Cleaned Data'!D17 = "Mall", 1,0)</f>
        <v>0</v>
      </c>
    </row>
    <row r="18" spans="1:15">
      <c r="A18" s="13">
        <v>666152.52</v>
      </c>
      <c r="B18" s="14">
        <v>48804.22</v>
      </c>
      <c r="C18" s="14">
        <v>7057</v>
      </c>
      <c r="D18" s="14">
        <v>5.0000000000000001E-3</v>
      </c>
      <c r="E18" s="14">
        <v>15</v>
      </c>
      <c r="F18" s="14">
        <v>87.7</v>
      </c>
      <c r="G18" s="14">
        <v>1.22</v>
      </c>
      <c r="H18" s="14">
        <v>0</v>
      </c>
      <c r="I18" s="14">
        <v>3.7</v>
      </c>
      <c r="J18" s="21">
        <f>IF('Cleaned Data'!C18 = "East", 1, 0)</f>
        <v>0</v>
      </c>
      <c r="K18" s="21">
        <f>IF('Cleaned Data'!C18 = "West", 1, 0)</f>
        <v>0</v>
      </c>
      <c r="L18" s="21">
        <f>IF('Cleaned Data'!C18 = "North", 1, 0)</f>
        <v>0</v>
      </c>
      <c r="M18" s="21">
        <f>IF('Cleaned Data'!D18 = "Airport", 1, 0)</f>
        <v>0</v>
      </c>
      <c r="N18" s="21">
        <f>IF('Cleaned Data'!D18 = "High Street", 1,0)</f>
        <v>0</v>
      </c>
      <c r="O18" s="21">
        <f>IF('Cleaned Data'!D18 = "Mall", 1,0)</f>
        <v>0</v>
      </c>
    </row>
    <row r="19" spans="1:15">
      <c r="A19" s="13">
        <v>573155.18999999994</v>
      </c>
      <c r="B19" s="14">
        <v>59117.9</v>
      </c>
      <c r="C19" s="14">
        <v>4263</v>
      </c>
      <c r="D19" s="14">
        <v>0.11899999999999999</v>
      </c>
      <c r="E19" s="14">
        <v>9</v>
      </c>
      <c r="F19" s="14">
        <v>87.6</v>
      </c>
      <c r="G19" s="14">
        <v>4.01</v>
      </c>
      <c r="H19" s="14">
        <v>0</v>
      </c>
      <c r="I19" s="14">
        <v>3.6</v>
      </c>
      <c r="J19" s="21">
        <f>IF('Cleaned Data'!C19 = "East", 1, 0)</f>
        <v>0</v>
      </c>
      <c r="K19" s="21">
        <f>IF('Cleaned Data'!C19 = "West", 1, 0)</f>
        <v>0</v>
      </c>
      <c r="L19" s="21">
        <f>IF('Cleaned Data'!C19 = "North", 1, 0)</f>
        <v>0</v>
      </c>
      <c r="M19" s="21">
        <f>IF('Cleaned Data'!D19 = "Airport", 1, 0)</f>
        <v>0</v>
      </c>
      <c r="N19" s="21">
        <f>IF('Cleaned Data'!D19 = "High Street", 1,0)</f>
        <v>0</v>
      </c>
      <c r="O19" s="21">
        <f>IF('Cleaned Data'!D19 = "Mall", 1,0)</f>
        <v>0</v>
      </c>
    </row>
    <row r="20" spans="1:15">
      <c r="A20" s="13">
        <v>666573.19999999995</v>
      </c>
      <c r="B20" s="14">
        <v>78831.12</v>
      </c>
      <c r="C20" s="14">
        <v>5538</v>
      </c>
      <c r="D20" s="14">
        <v>0</v>
      </c>
      <c r="E20" s="14">
        <v>15</v>
      </c>
      <c r="F20" s="14">
        <v>94.1</v>
      </c>
      <c r="G20" s="14">
        <v>0.2</v>
      </c>
      <c r="H20" s="14">
        <v>0</v>
      </c>
      <c r="I20" s="14">
        <v>3.9</v>
      </c>
      <c r="J20" s="21">
        <f>IF('Cleaned Data'!C20 = "East", 1, 0)</f>
        <v>0</v>
      </c>
      <c r="K20" s="21">
        <f>IF('Cleaned Data'!C20 = "West", 1, 0)</f>
        <v>0</v>
      </c>
      <c r="L20" s="21">
        <f>IF('Cleaned Data'!C20 = "North", 1, 0)</f>
        <v>0</v>
      </c>
      <c r="M20" s="21">
        <f>IF('Cleaned Data'!D20 = "Airport", 1, 0)</f>
        <v>0</v>
      </c>
      <c r="N20" s="21">
        <f>IF('Cleaned Data'!D20 = "High Street", 1,0)</f>
        <v>0</v>
      </c>
      <c r="O20" s="21">
        <f>IF('Cleaned Data'!D20 = "Mall", 1,0)</f>
        <v>0</v>
      </c>
    </row>
    <row r="21" spans="1:15">
      <c r="A21" s="13">
        <v>591619.94999999995</v>
      </c>
      <c r="B21" s="14">
        <v>41441.93</v>
      </c>
      <c r="C21" s="14">
        <v>4865</v>
      </c>
      <c r="D21" s="14">
        <v>0.158</v>
      </c>
      <c r="E21" s="14">
        <v>16</v>
      </c>
      <c r="F21" s="14">
        <v>88.3</v>
      </c>
      <c r="G21" s="14">
        <v>0.5</v>
      </c>
      <c r="H21" s="14">
        <v>0</v>
      </c>
      <c r="I21" s="14">
        <v>4</v>
      </c>
      <c r="J21" s="21">
        <f>IF('Cleaned Data'!C21 = "East", 1, 0)</f>
        <v>0</v>
      </c>
      <c r="K21" s="21">
        <f>IF('Cleaned Data'!C21 = "West", 1, 0)</f>
        <v>0</v>
      </c>
      <c r="L21" s="21">
        <f>IF('Cleaned Data'!C21 = "North", 1, 0)</f>
        <v>0</v>
      </c>
      <c r="M21" s="21">
        <f>IF('Cleaned Data'!D21 = "Airport", 1, 0)</f>
        <v>0</v>
      </c>
      <c r="N21" s="21">
        <f>IF('Cleaned Data'!D21 = "High Street", 1,0)</f>
        <v>0</v>
      </c>
      <c r="O21" s="21">
        <f>IF('Cleaned Data'!D21 = "Mall", 1,0)</f>
        <v>0</v>
      </c>
    </row>
    <row r="22" spans="1:15">
      <c r="A22" s="13">
        <v>415721.82</v>
      </c>
      <c r="B22" s="14">
        <v>30356.28</v>
      </c>
      <c r="C22" s="14">
        <v>2822</v>
      </c>
      <c r="D22" s="14">
        <v>0.23100000000000001</v>
      </c>
      <c r="E22" s="14">
        <v>9</v>
      </c>
      <c r="F22" s="14">
        <v>84.8</v>
      </c>
      <c r="G22" s="14">
        <v>6.95</v>
      </c>
      <c r="H22" s="14">
        <v>0</v>
      </c>
      <c r="I22" s="14">
        <v>5</v>
      </c>
      <c r="J22" s="21">
        <f>IF('Cleaned Data'!C22 = "East", 1, 0)</f>
        <v>0</v>
      </c>
      <c r="K22" s="21">
        <f>IF('Cleaned Data'!C22 = "West", 1, 0)</f>
        <v>0</v>
      </c>
      <c r="L22" s="21">
        <f>IF('Cleaned Data'!C22 = "North", 1, 0)</f>
        <v>1</v>
      </c>
      <c r="M22" s="21">
        <f>IF('Cleaned Data'!D22 = "Airport", 1, 0)</f>
        <v>0</v>
      </c>
      <c r="N22" s="21">
        <f>IF('Cleaned Data'!D22 = "High Street", 1,0)</f>
        <v>0</v>
      </c>
      <c r="O22" s="21">
        <f>IF('Cleaned Data'!D22 = "Mall", 1,0)</f>
        <v>0</v>
      </c>
    </row>
    <row r="23" spans="1:15">
      <c r="A23" s="13">
        <v>491905.13</v>
      </c>
      <c r="B23" s="14">
        <v>33518.879999999997</v>
      </c>
      <c r="C23" s="14">
        <v>2121</v>
      </c>
      <c r="D23" s="14">
        <v>0.17599999999999999</v>
      </c>
      <c r="E23" s="14">
        <v>8</v>
      </c>
      <c r="F23" s="14">
        <v>88.5</v>
      </c>
      <c r="G23" s="14">
        <v>0.2</v>
      </c>
      <c r="H23" s="14">
        <v>0</v>
      </c>
      <c r="I23" s="14">
        <v>5</v>
      </c>
      <c r="J23" s="21">
        <f>IF('Cleaned Data'!C23 = "East", 1, 0)</f>
        <v>0</v>
      </c>
      <c r="K23" s="21">
        <f>IF('Cleaned Data'!C23 = "West", 1, 0)</f>
        <v>0</v>
      </c>
      <c r="L23" s="21">
        <f>IF('Cleaned Data'!C23 = "North", 1, 0)</f>
        <v>1</v>
      </c>
      <c r="M23" s="21">
        <f>IF('Cleaned Data'!D23 = "Airport", 1, 0)</f>
        <v>0</v>
      </c>
      <c r="N23" s="21">
        <f>IF('Cleaned Data'!D23 = "High Street", 1,0)</f>
        <v>0</v>
      </c>
      <c r="O23" s="21">
        <f>IF('Cleaned Data'!D23 = "Mall", 1,0)</f>
        <v>0</v>
      </c>
    </row>
    <row r="24" spans="1:15">
      <c r="A24" s="13">
        <v>555929.4</v>
      </c>
      <c r="B24" s="14">
        <v>42267.37</v>
      </c>
      <c r="C24" s="14">
        <v>3364</v>
      </c>
      <c r="D24" s="14">
        <v>0.16</v>
      </c>
      <c r="E24" s="14">
        <v>13</v>
      </c>
      <c r="F24" s="14">
        <v>82</v>
      </c>
      <c r="G24" s="14">
        <v>1.61</v>
      </c>
      <c r="H24" s="14">
        <v>1</v>
      </c>
      <c r="I24" s="14">
        <v>4.5999999999999996</v>
      </c>
      <c r="J24" s="21">
        <f>IF('Cleaned Data'!C24 = "East", 1, 0)</f>
        <v>0</v>
      </c>
      <c r="K24" s="21">
        <f>IF('Cleaned Data'!C24 = "West", 1, 0)</f>
        <v>0</v>
      </c>
      <c r="L24" s="21">
        <f>IF('Cleaned Data'!C24 = "North", 1, 0)</f>
        <v>1</v>
      </c>
      <c r="M24" s="21">
        <f>IF('Cleaned Data'!D24 = "Airport", 1, 0)</f>
        <v>0</v>
      </c>
      <c r="N24" s="21">
        <f>IF('Cleaned Data'!D24 = "High Street", 1,0)</f>
        <v>0</v>
      </c>
      <c r="O24" s="21">
        <f>IF('Cleaned Data'!D24 = "Mall", 1,0)</f>
        <v>0</v>
      </c>
    </row>
    <row r="25" spans="1:15">
      <c r="A25" s="13">
        <v>565810.99</v>
      </c>
      <c r="B25" s="14">
        <v>62060.43</v>
      </c>
      <c r="C25" s="14">
        <v>2613</v>
      </c>
      <c r="D25" s="14">
        <v>0.216</v>
      </c>
      <c r="E25" s="14">
        <v>12</v>
      </c>
      <c r="F25" s="14">
        <v>92.1</v>
      </c>
      <c r="G25" s="14">
        <v>1.55</v>
      </c>
      <c r="H25" s="14">
        <v>0</v>
      </c>
      <c r="I25" s="14">
        <v>4.7</v>
      </c>
      <c r="J25" s="21">
        <f>IF('Cleaned Data'!C25 = "East", 1, 0)</f>
        <v>0</v>
      </c>
      <c r="K25" s="21">
        <f>IF('Cleaned Data'!C25 = "West", 1, 0)</f>
        <v>0</v>
      </c>
      <c r="L25" s="21">
        <f>IF('Cleaned Data'!C25 = "North", 1, 0)</f>
        <v>1</v>
      </c>
      <c r="M25" s="21">
        <f>IF('Cleaned Data'!D25 = "Airport", 1, 0)</f>
        <v>0</v>
      </c>
      <c r="N25" s="21">
        <f>IF('Cleaned Data'!D25 = "High Street", 1,0)</f>
        <v>0</v>
      </c>
      <c r="O25" s="21">
        <f>IF('Cleaned Data'!D25 = "Mall", 1,0)</f>
        <v>0</v>
      </c>
    </row>
    <row r="26" spans="1:15">
      <c r="A26" s="13">
        <v>811771.14</v>
      </c>
      <c r="B26" s="14">
        <v>57696.69</v>
      </c>
      <c r="C26" s="14">
        <v>10218</v>
      </c>
      <c r="D26" s="14">
        <v>0.121</v>
      </c>
      <c r="E26" s="14">
        <v>25</v>
      </c>
      <c r="F26" s="14">
        <v>94.8</v>
      </c>
      <c r="G26" s="14">
        <v>2.99</v>
      </c>
      <c r="H26" s="14">
        <v>0</v>
      </c>
      <c r="I26" s="14">
        <v>3.5</v>
      </c>
      <c r="J26" s="21">
        <f>IF('Cleaned Data'!C26 = "East", 1, 0)</f>
        <v>0</v>
      </c>
      <c r="K26" s="21">
        <f>IF('Cleaned Data'!C26 = "West", 1, 0)</f>
        <v>1</v>
      </c>
      <c r="L26" s="21">
        <f>IF('Cleaned Data'!C26 = "North", 1, 0)</f>
        <v>0</v>
      </c>
      <c r="M26" s="21">
        <f>IF('Cleaned Data'!D26 = "Airport", 1, 0)</f>
        <v>0</v>
      </c>
      <c r="N26" s="21">
        <f>IF('Cleaned Data'!D26 = "High Street", 1,0)</f>
        <v>0</v>
      </c>
      <c r="O26" s="21">
        <f>IF('Cleaned Data'!D26 = "Mall", 1,0)</f>
        <v>1</v>
      </c>
    </row>
    <row r="27" spans="1:15">
      <c r="A27" s="13">
        <v>800451.94</v>
      </c>
      <c r="B27" s="14">
        <v>172415.52</v>
      </c>
      <c r="C27" s="14">
        <v>8927</v>
      </c>
      <c r="D27" s="14">
        <v>0.14000000000000001</v>
      </c>
      <c r="E27" s="14">
        <v>22</v>
      </c>
      <c r="F27" s="14">
        <v>86.2</v>
      </c>
      <c r="G27" s="14">
        <v>7.04</v>
      </c>
      <c r="H27" s="14">
        <v>0</v>
      </c>
      <c r="I27" s="14">
        <v>3.9</v>
      </c>
      <c r="J27" s="21">
        <f>IF('Cleaned Data'!C27 = "East", 1, 0)</f>
        <v>0</v>
      </c>
      <c r="K27" s="21">
        <f>IF('Cleaned Data'!C27 = "West", 1, 0)</f>
        <v>1</v>
      </c>
      <c r="L27" s="21">
        <f>IF('Cleaned Data'!C27 = "North", 1, 0)</f>
        <v>0</v>
      </c>
      <c r="M27" s="21">
        <f>IF('Cleaned Data'!D27 = "Airport", 1, 0)</f>
        <v>0</v>
      </c>
      <c r="N27" s="21">
        <f>IF('Cleaned Data'!D27 = "High Street", 1,0)</f>
        <v>0</v>
      </c>
      <c r="O27" s="21">
        <f>IF('Cleaned Data'!D27 = "Mall", 1,0)</f>
        <v>1</v>
      </c>
    </row>
    <row r="28" spans="1:15">
      <c r="A28" s="13">
        <v>783672.82</v>
      </c>
      <c r="B28" s="14">
        <v>55270.52</v>
      </c>
      <c r="C28" s="14">
        <v>9315</v>
      </c>
      <c r="D28" s="14">
        <v>0.16900000000000001</v>
      </c>
      <c r="E28" s="14">
        <v>23</v>
      </c>
      <c r="F28" s="14">
        <v>91.9</v>
      </c>
      <c r="G28" s="14">
        <v>4.9400000000000004</v>
      </c>
      <c r="H28" s="14">
        <v>0</v>
      </c>
      <c r="I28" s="14">
        <v>4</v>
      </c>
      <c r="J28" s="21">
        <f>IF('Cleaned Data'!C28 = "East", 1, 0)</f>
        <v>0</v>
      </c>
      <c r="K28" s="21">
        <f>IF('Cleaned Data'!C28 = "West", 1, 0)</f>
        <v>1</v>
      </c>
      <c r="L28" s="21">
        <f>IF('Cleaned Data'!C28 = "North", 1, 0)</f>
        <v>0</v>
      </c>
      <c r="M28" s="21">
        <f>IF('Cleaned Data'!D28 = "Airport", 1, 0)</f>
        <v>0</v>
      </c>
      <c r="N28" s="21">
        <f>IF('Cleaned Data'!D28 = "High Street", 1,0)</f>
        <v>0</v>
      </c>
      <c r="O28" s="21">
        <f>IF('Cleaned Data'!D28 = "Mall", 1,0)</f>
        <v>1</v>
      </c>
    </row>
    <row r="29" spans="1:15">
      <c r="A29" s="13">
        <v>701641.97</v>
      </c>
      <c r="B29" s="14">
        <v>52715.1</v>
      </c>
      <c r="C29" s="14">
        <v>7223</v>
      </c>
      <c r="D29" s="14">
        <v>0.122</v>
      </c>
      <c r="E29" s="14">
        <v>16</v>
      </c>
      <c r="F29" s="14">
        <v>84.2</v>
      </c>
      <c r="G29" s="14">
        <v>16.149999999999999</v>
      </c>
      <c r="H29" s="14">
        <v>0</v>
      </c>
      <c r="I29" s="14">
        <v>3.7</v>
      </c>
      <c r="J29" s="21">
        <f>IF('Cleaned Data'!C29 = "East", 1, 0)</f>
        <v>0</v>
      </c>
      <c r="K29" s="21">
        <f>IF('Cleaned Data'!C29 = "West", 1, 0)</f>
        <v>1</v>
      </c>
      <c r="L29" s="21">
        <f>IF('Cleaned Data'!C29 = "North", 1, 0)</f>
        <v>0</v>
      </c>
      <c r="M29" s="21">
        <f>IF('Cleaned Data'!D29 = "Airport", 1, 0)</f>
        <v>0</v>
      </c>
      <c r="N29" s="21">
        <f>IF('Cleaned Data'!D29 = "High Street", 1,0)</f>
        <v>0</v>
      </c>
      <c r="O29" s="21">
        <f>IF('Cleaned Data'!D29 = "Mall", 1,0)</f>
        <v>1</v>
      </c>
    </row>
    <row r="30" spans="1:15">
      <c r="A30" s="13">
        <v>511844.41</v>
      </c>
      <c r="B30" s="14">
        <v>68600.62</v>
      </c>
      <c r="C30" s="14">
        <v>3988</v>
      </c>
      <c r="D30" s="14">
        <v>0.124</v>
      </c>
      <c r="E30" s="14">
        <v>11</v>
      </c>
      <c r="F30" s="14">
        <v>85</v>
      </c>
      <c r="G30" s="14">
        <v>0.48</v>
      </c>
      <c r="H30" s="14">
        <v>0</v>
      </c>
      <c r="I30" s="14">
        <v>3.6</v>
      </c>
      <c r="J30" s="21">
        <f>IF('Cleaned Data'!C30 = "East", 1, 0)</f>
        <v>1</v>
      </c>
      <c r="K30" s="21">
        <f>IF('Cleaned Data'!C30 = "West", 1, 0)</f>
        <v>0</v>
      </c>
      <c r="L30" s="21">
        <f>IF('Cleaned Data'!C30 = "North", 1, 0)</f>
        <v>0</v>
      </c>
      <c r="M30" s="21">
        <f>IF('Cleaned Data'!D30 = "Airport", 1, 0)</f>
        <v>0</v>
      </c>
      <c r="N30" s="21">
        <f>IF('Cleaned Data'!D30 = "High Street", 1,0)</f>
        <v>0</v>
      </c>
      <c r="O30" s="21">
        <f>IF('Cleaned Data'!D30 = "Mall", 1,0)</f>
        <v>0</v>
      </c>
    </row>
    <row r="31" spans="1:15">
      <c r="A31" s="13">
        <v>537383.79</v>
      </c>
      <c r="B31" s="14">
        <v>63176.73</v>
      </c>
      <c r="C31" s="14">
        <v>2390</v>
      </c>
      <c r="D31" s="14">
        <v>0.216</v>
      </c>
      <c r="E31" s="14">
        <v>9</v>
      </c>
      <c r="F31" s="14">
        <v>87.5</v>
      </c>
      <c r="G31" s="14">
        <v>0.31</v>
      </c>
      <c r="H31" s="14">
        <v>0</v>
      </c>
      <c r="I31" s="14">
        <v>3.1</v>
      </c>
      <c r="J31" s="21">
        <f>IF('Cleaned Data'!C31 = "East", 1, 0)</f>
        <v>1</v>
      </c>
      <c r="K31" s="21">
        <f>IF('Cleaned Data'!C31 = "West", 1, 0)</f>
        <v>0</v>
      </c>
      <c r="L31" s="21">
        <f>IF('Cleaned Data'!C31 = "North", 1, 0)</f>
        <v>0</v>
      </c>
      <c r="M31" s="21">
        <f>IF('Cleaned Data'!D31 = "Airport", 1, 0)</f>
        <v>0</v>
      </c>
      <c r="N31" s="21">
        <f>IF('Cleaned Data'!D31 = "High Street", 1,0)</f>
        <v>0</v>
      </c>
      <c r="O31" s="21">
        <f>IF('Cleaned Data'!D31 = "Mall", 1,0)</f>
        <v>0</v>
      </c>
    </row>
    <row r="32" spans="1:15">
      <c r="A32" s="13">
        <v>500173.02</v>
      </c>
      <c r="B32" s="14">
        <v>44970.080000000002</v>
      </c>
      <c r="C32" s="14">
        <v>2471</v>
      </c>
      <c r="D32" s="14">
        <v>0.13600000000000001</v>
      </c>
      <c r="E32" s="14">
        <v>11</v>
      </c>
      <c r="F32" s="14">
        <v>87.6</v>
      </c>
      <c r="G32" s="14">
        <v>3.01</v>
      </c>
      <c r="H32" s="14">
        <v>1</v>
      </c>
      <c r="I32" s="14">
        <v>3.7</v>
      </c>
      <c r="J32" s="21">
        <f>IF('Cleaned Data'!C32 = "East", 1, 0)</f>
        <v>1</v>
      </c>
      <c r="K32" s="21">
        <f>IF('Cleaned Data'!C32 = "West", 1, 0)</f>
        <v>0</v>
      </c>
      <c r="L32" s="21">
        <f>IF('Cleaned Data'!C32 = "North", 1, 0)</f>
        <v>0</v>
      </c>
      <c r="M32" s="21">
        <f>IF('Cleaned Data'!D32 = "Airport", 1, 0)</f>
        <v>0</v>
      </c>
      <c r="N32" s="21">
        <f>IF('Cleaned Data'!D32 = "High Street", 1,0)</f>
        <v>0</v>
      </c>
      <c r="O32" s="21">
        <f>IF('Cleaned Data'!D32 = "Mall", 1,0)</f>
        <v>0</v>
      </c>
    </row>
    <row r="33" spans="1:15">
      <c r="A33" s="13">
        <v>427917.38</v>
      </c>
      <c r="B33" s="14">
        <v>69816.350000000006</v>
      </c>
      <c r="C33" s="14">
        <v>971</v>
      </c>
      <c r="D33" s="14">
        <v>0.16800000000000001</v>
      </c>
      <c r="E33" s="14">
        <v>5</v>
      </c>
      <c r="F33" s="14">
        <v>89.9</v>
      </c>
      <c r="G33" s="14">
        <v>12.15</v>
      </c>
      <c r="H33" s="14">
        <v>0</v>
      </c>
      <c r="I33" s="14">
        <v>3.6</v>
      </c>
      <c r="J33" s="21">
        <f>IF('Cleaned Data'!C33 = "East", 1, 0)</f>
        <v>1</v>
      </c>
      <c r="K33" s="21">
        <f>IF('Cleaned Data'!C33 = "West", 1, 0)</f>
        <v>0</v>
      </c>
      <c r="L33" s="21">
        <f>IF('Cleaned Data'!C33 = "North", 1, 0)</f>
        <v>0</v>
      </c>
      <c r="M33" s="21">
        <f>IF('Cleaned Data'!D33 = "Airport", 1, 0)</f>
        <v>0</v>
      </c>
      <c r="N33" s="21">
        <f>IF('Cleaned Data'!D33 = "High Street", 1,0)</f>
        <v>0</v>
      </c>
      <c r="O33" s="21">
        <f>IF('Cleaned Data'!D33 = "Mall", 1,0)</f>
        <v>0</v>
      </c>
    </row>
    <row r="34" spans="1:15">
      <c r="A34" s="13">
        <v>641865.03</v>
      </c>
      <c r="B34" s="14">
        <v>54597.83</v>
      </c>
      <c r="C34" s="14">
        <v>9429</v>
      </c>
      <c r="D34" s="14">
        <v>0.188</v>
      </c>
      <c r="E34" s="14">
        <v>21</v>
      </c>
      <c r="F34" s="14">
        <v>83.3</v>
      </c>
      <c r="G34" s="14">
        <v>11.71</v>
      </c>
      <c r="H34" s="14">
        <v>0</v>
      </c>
      <c r="I34" s="14">
        <v>4.2</v>
      </c>
      <c r="J34" s="21">
        <f>IF('Cleaned Data'!C34 = "East", 1, 0)</f>
        <v>0</v>
      </c>
      <c r="K34" s="21">
        <f>IF('Cleaned Data'!C34 = "West", 1, 0)</f>
        <v>0</v>
      </c>
      <c r="L34" s="21">
        <f>IF('Cleaned Data'!C34 = "North", 1, 0)</f>
        <v>1</v>
      </c>
      <c r="M34" s="21">
        <f>IF('Cleaned Data'!D34 = "Airport", 1, 0)</f>
        <v>0</v>
      </c>
      <c r="N34" s="21">
        <f>IF('Cleaned Data'!D34 = "High Street", 1,0)</f>
        <v>0</v>
      </c>
      <c r="O34" s="21">
        <f>IF('Cleaned Data'!D34 = "Mall", 1,0)</f>
        <v>0</v>
      </c>
    </row>
    <row r="35" spans="1:15">
      <c r="A35" s="13">
        <v>799477.76000000001</v>
      </c>
      <c r="B35" s="14">
        <v>73771.91</v>
      </c>
      <c r="C35" s="14">
        <v>11695</v>
      </c>
      <c r="D35" s="14">
        <v>7.0000000000000007E-2</v>
      </c>
      <c r="E35" s="14">
        <v>25</v>
      </c>
      <c r="F35" s="14">
        <v>84.7</v>
      </c>
      <c r="G35" s="14">
        <v>0.62</v>
      </c>
      <c r="H35" s="14">
        <v>0</v>
      </c>
      <c r="I35" s="14">
        <v>3.9</v>
      </c>
      <c r="J35" s="21">
        <f>IF('Cleaned Data'!C35 = "East", 1, 0)</f>
        <v>0</v>
      </c>
      <c r="K35" s="21">
        <f>IF('Cleaned Data'!C35 = "West", 1, 0)</f>
        <v>0</v>
      </c>
      <c r="L35" s="21">
        <f>IF('Cleaned Data'!C35 = "North", 1, 0)</f>
        <v>1</v>
      </c>
      <c r="M35" s="21">
        <f>IF('Cleaned Data'!D35 = "Airport", 1, 0)</f>
        <v>0</v>
      </c>
      <c r="N35" s="21">
        <f>IF('Cleaned Data'!D35 = "High Street", 1,0)</f>
        <v>0</v>
      </c>
      <c r="O35" s="21">
        <f>IF('Cleaned Data'!D35 = "Mall", 1,0)</f>
        <v>0</v>
      </c>
    </row>
    <row r="36" spans="1:15">
      <c r="A36" s="13">
        <v>798952.17</v>
      </c>
      <c r="B36" s="14">
        <v>74413.88</v>
      </c>
      <c r="C36" s="14">
        <v>9449</v>
      </c>
      <c r="D36" s="14">
        <v>3.9E-2</v>
      </c>
      <c r="E36" s="14">
        <v>23</v>
      </c>
      <c r="F36" s="14">
        <v>92.1</v>
      </c>
      <c r="G36" s="14">
        <v>2.12</v>
      </c>
      <c r="H36" s="14">
        <v>0</v>
      </c>
      <c r="I36" s="14">
        <v>3.5</v>
      </c>
      <c r="J36" s="21">
        <f>IF('Cleaned Data'!C36 = "East", 1, 0)</f>
        <v>0</v>
      </c>
      <c r="K36" s="21">
        <f>IF('Cleaned Data'!C36 = "West", 1, 0)</f>
        <v>0</v>
      </c>
      <c r="L36" s="21">
        <f>IF('Cleaned Data'!C36 = "North", 1, 0)</f>
        <v>1</v>
      </c>
      <c r="M36" s="21">
        <f>IF('Cleaned Data'!D36 = "Airport", 1, 0)</f>
        <v>0</v>
      </c>
      <c r="N36" s="21">
        <f>IF('Cleaned Data'!D36 = "High Street", 1,0)</f>
        <v>0</v>
      </c>
      <c r="O36" s="21">
        <f>IF('Cleaned Data'!D36 = "Mall", 1,0)</f>
        <v>0</v>
      </c>
    </row>
    <row r="37" spans="1:15">
      <c r="A37" s="13">
        <v>800979.78</v>
      </c>
      <c r="B37" s="14">
        <v>52483.77</v>
      </c>
      <c r="C37" s="14">
        <v>10453</v>
      </c>
      <c r="D37" s="14">
        <v>0.247</v>
      </c>
      <c r="E37" s="14">
        <v>25</v>
      </c>
      <c r="F37" s="14">
        <v>99</v>
      </c>
      <c r="G37" s="14">
        <v>6.31</v>
      </c>
      <c r="H37" s="14">
        <v>0</v>
      </c>
      <c r="I37" s="14">
        <v>3.6</v>
      </c>
      <c r="J37" s="21">
        <f>IF('Cleaned Data'!C37 = "East", 1, 0)</f>
        <v>0</v>
      </c>
      <c r="K37" s="21">
        <f>IF('Cleaned Data'!C37 = "West", 1, 0)</f>
        <v>0</v>
      </c>
      <c r="L37" s="21">
        <f>IF('Cleaned Data'!C37 = "North", 1, 0)</f>
        <v>1</v>
      </c>
      <c r="M37" s="21">
        <f>IF('Cleaned Data'!D37 = "Airport", 1, 0)</f>
        <v>0</v>
      </c>
      <c r="N37" s="21">
        <f>IF('Cleaned Data'!D37 = "High Street", 1,0)</f>
        <v>0</v>
      </c>
      <c r="O37" s="21">
        <f>IF('Cleaned Data'!D37 = "Mall", 1,0)</f>
        <v>0</v>
      </c>
    </row>
    <row r="38" spans="1:15">
      <c r="A38" s="13">
        <v>820593.93</v>
      </c>
      <c r="B38" s="14">
        <v>75269.87</v>
      </c>
      <c r="C38" s="14">
        <v>8838</v>
      </c>
      <c r="D38" s="14">
        <v>9.1999999999999998E-2</v>
      </c>
      <c r="E38" s="14">
        <v>21</v>
      </c>
      <c r="F38" s="14">
        <v>83.1</v>
      </c>
      <c r="G38" s="14">
        <v>9.56</v>
      </c>
      <c r="H38" s="14">
        <v>1</v>
      </c>
      <c r="I38" s="14">
        <v>4.2</v>
      </c>
      <c r="J38" s="21">
        <f>IF('Cleaned Data'!C38 = "East", 1, 0)</f>
        <v>0</v>
      </c>
      <c r="K38" s="21">
        <f>IF('Cleaned Data'!C38 = "West", 1, 0)</f>
        <v>0</v>
      </c>
      <c r="L38" s="21">
        <f>IF('Cleaned Data'!C38 = "North", 1, 0)</f>
        <v>1</v>
      </c>
      <c r="M38" s="21">
        <f>IF('Cleaned Data'!D38 = "Airport", 1, 0)</f>
        <v>0</v>
      </c>
      <c r="N38" s="21">
        <f>IF('Cleaned Data'!D38 = "High Street", 1,0)</f>
        <v>0</v>
      </c>
      <c r="O38" s="21">
        <f>IF('Cleaned Data'!D38 = "Mall", 1,0)</f>
        <v>1</v>
      </c>
    </row>
    <row r="39" spans="1:15">
      <c r="A39" s="13">
        <v>718330.53</v>
      </c>
      <c r="B39" s="14">
        <v>61245.41</v>
      </c>
      <c r="C39" s="14">
        <v>8156</v>
      </c>
      <c r="D39" s="14">
        <v>0.156</v>
      </c>
      <c r="E39" s="14">
        <v>19</v>
      </c>
      <c r="F39" s="14">
        <v>92.9</v>
      </c>
      <c r="G39" s="14">
        <v>9.0500000000000007</v>
      </c>
      <c r="H39" s="14">
        <v>0</v>
      </c>
      <c r="I39" s="14">
        <v>3.8</v>
      </c>
      <c r="J39" s="21">
        <f>IF('Cleaned Data'!C39 = "East", 1, 0)</f>
        <v>0</v>
      </c>
      <c r="K39" s="21">
        <f>IF('Cleaned Data'!C39 = "West", 1, 0)</f>
        <v>0</v>
      </c>
      <c r="L39" s="21">
        <f>IF('Cleaned Data'!C39 = "North", 1, 0)</f>
        <v>1</v>
      </c>
      <c r="M39" s="21">
        <f>IF('Cleaned Data'!D39 = "Airport", 1, 0)</f>
        <v>0</v>
      </c>
      <c r="N39" s="21">
        <f>IF('Cleaned Data'!D39 = "High Street", 1,0)</f>
        <v>0</v>
      </c>
      <c r="O39" s="21">
        <f>IF('Cleaned Data'!D39 = "Mall", 1,0)</f>
        <v>1</v>
      </c>
    </row>
    <row r="40" spans="1:15">
      <c r="A40" s="13">
        <v>736633.4</v>
      </c>
      <c r="B40" s="14">
        <v>93381.26</v>
      </c>
      <c r="C40" s="14">
        <v>7562</v>
      </c>
      <c r="D40" s="14">
        <v>0.19800000000000001</v>
      </c>
      <c r="E40" s="14">
        <v>19</v>
      </c>
      <c r="F40" s="14">
        <v>82.9</v>
      </c>
      <c r="G40" s="14">
        <v>5.05</v>
      </c>
      <c r="H40" s="14">
        <v>0</v>
      </c>
      <c r="I40" s="14">
        <v>4</v>
      </c>
      <c r="J40" s="21">
        <f>IF('Cleaned Data'!C40 = "East", 1, 0)</f>
        <v>0</v>
      </c>
      <c r="K40" s="21">
        <f>IF('Cleaned Data'!C40 = "West", 1, 0)</f>
        <v>0</v>
      </c>
      <c r="L40" s="21">
        <f>IF('Cleaned Data'!C40 = "North", 1, 0)</f>
        <v>1</v>
      </c>
      <c r="M40" s="21">
        <f>IF('Cleaned Data'!D40 = "Airport", 1, 0)</f>
        <v>0</v>
      </c>
      <c r="N40" s="21">
        <f>IF('Cleaned Data'!D40 = "High Street", 1,0)</f>
        <v>0</v>
      </c>
      <c r="O40" s="21">
        <f>IF('Cleaned Data'!D40 = "Mall", 1,0)</f>
        <v>1</v>
      </c>
    </row>
    <row r="41" spans="1:15">
      <c r="A41" s="13">
        <v>828623.85</v>
      </c>
      <c r="B41" s="14">
        <v>65012.19</v>
      </c>
      <c r="C41" s="14">
        <v>9598</v>
      </c>
      <c r="D41" s="14">
        <v>8.5000000000000006E-2</v>
      </c>
      <c r="E41" s="14">
        <v>24</v>
      </c>
      <c r="F41" s="14">
        <v>98.3</v>
      </c>
      <c r="G41" s="14">
        <v>0.89</v>
      </c>
      <c r="H41" s="14">
        <v>0</v>
      </c>
      <c r="I41" s="14">
        <v>3.8</v>
      </c>
      <c r="J41" s="21">
        <f>IF('Cleaned Data'!C41 = "East", 1, 0)</f>
        <v>0</v>
      </c>
      <c r="K41" s="21">
        <f>IF('Cleaned Data'!C41 = "West", 1, 0)</f>
        <v>0</v>
      </c>
      <c r="L41" s="21">
        <f>IF('Cleaned Data'!C41 = "North", 1, 0)</f>
        <v>1</v>
      </c>
      <c r="M41" s="21">
        <f>IF('Cleaned Data'!D41 = "Airport", 1, 0)</f>
        <v>0</v>
      </c>
      <c r="N41" s="21">
        <f>IF('Cleaned Data'!D41 = "High Street", 1,0)</f>
        <v>0</v>
      </c>
      <c r="O41" s="21">
        <f>IF('Cleaned Data'!D41 = "Mall", 1,0)</f>
        <v>1</v>
      </c>
    </row>
    <row r="42" spans="1:15">
      <c r="A42" s="13">
        <v>592195.85</v>
      </c>
      <c r="B42" s="14">
        <v>40462.94</v>
      </c>
      <c r="C42" s="14">
        <v>3660</v>
      </c>
      <c r="D42" s="14">
        <v>0.218</v>
      </c>
      <c r="E42" s="14">
        <v>11</v>
      </c>
      <c r="F42" s="14">
        <v>95.2</v>
      </c>
      <c r="G42" s="14">
        <v>5.57</v>
      </c>
      <c r="H42" s="14">
        <v>0</v>
      </c>
      <c r="I42" s="14">
        <v>4.4000000000000004</v>
      </c>
      <c r="J42" s="21">
        <f>IF('Cleaned Data'!C42 = "East", 1, 0)</f>
        <v>1</v>
      </c>
      <c r="K42" s="21">
        <f>IF('Cleaned Data'!C42 = "West", 1, 0)</f>
        <v>0</v>
      </c>
      <c r="L42" s="21">
        <f>IF('Cleaned Data'!C42 = "North", 1, 0)</f>
        <v>0</v>
      </c>
      <c r="M42" s="21">
        <f>IF('Cleaned Data'!D42 = "Airport", 1, 0)</f>
        <v>0</v>
      </c>
      <c r="N42" s="21">
        <f>IF('Cleaned Data'!D42 = "High Street", 1,0)</f>
        <v>0</v>
      </c>
      <c r="O42" s="21">
        <f>IF('Cleaned Data'!D42 = "Mall", 1,0)</f>
        <v>1</v>
      </c>
    </row>
    <row r="43" spans="1:15">
      <c r="A43" s="13">
        <v>532644.46</v>
      </c>
      <c r="B43" s="14">
        <v>46123.88</v>
      </c>
      <c r="C43" s="14">
        <v>3227</v>
      </c>
      <c r="D43" s="14">
        <v>0.14299999999999999</v>
      </c>
      <c r="E43" s="14">
        <v>10</v>
      </c>
      <c r="F43" s="14">
        <v>75.400000000000006</v>
      </c>
      <c r="G43" s="14">
        <v>1.06</v>
      </c>
      <c r="H43" s="14">
        <v>0</v>
      </c>
      <c r="I43" s="14">
        <v>4.4000000000000004</v>
      </c>
      <c r="J43" s="21">
        <f>IF('Cleaned Data'!C43 = "East", 1, 0)</f>
        <v>1</v>
      </c>
      <c r="K43" s="21">
        <f>IF('Cleaned Data'!C43 = "West", 1, 0)</f>
        <v>0</v>
      </c>
      <c r="L43" s="21">
        <f>IF('Cleaned Data'!C43 = "North", 1, 0)</f>
        <v>0</v>
      </c>
      <c r="M43" s="21">
        <f>IF('Cleaned Data'!D43 = "Airport", 1, 0)</f>
        <v>0</v>
      </c>
      <c r="N43" s="21">
        <f>IF('Cleaned Data'!D43 = "High Street", 1,0)</f>
        <v>0</v>
      </c>
      <c r="O43" s="21">
        <f>IF('Cleaned Data'!D43 = "Mall", 1,0)</f>
        <v>1</v>
      </c>
    </row>
    <row r="44" spans="1:15">
      <c r="A44" s="13">
        <v>657429.18000000005</v>
      </c>
      <c r="B44" s="14">
        <v>68077.539999999994</v>
      </c>
      <c r="C44" s="14">
        <v>3360</v>
      </c>
      <c r="D44" s="14">
        <v>0.128</v>
      </c>
      <c r="E44" s="14">
        <v>14</v>
      </c>
      <c r="F44" s="14">
        <v>88.2</v>
      </c>
      <c r="G44" s="14">
        <v>1.24</v>
      </c>
      <c r="H44" s="14">
        <v>1</v>
      </c>
      <c r="I44" s="14">
        <v>4</v>
      </c>
      <c r="J44" s="21">
        <f>IF('Cleaned Data'!C44 = "East", 1, 0)</f>
        <v>1</v>
      </c>
      <c r="K44" s="21">
        <f>IF('Cleaned Data'!C44 = "West", 1, 0)</f>
        <v>0</v>
      </c>
      <c r="L44" s="21">
        <f>IF('Cleaned Data'!C44 = "North", 1, 0)</f>
        <v>0</v>
      </c>
      <c r="M44" s="21">
        <f>IF('Cleaned Data'!D44 = "Airport", 1, 0)</f>
        <v>0</v>
      </c>
      <c r="N44" s="21">
        <f>IF('Cleaned Data'!D44 = "High Street", 1,0)</f>
        <v>0</v>
      </c>
      <c r="O44" s="21">
        <f>IF('Cleaned Data'!D44 = "Mall", 1,0)</f>
        <v>1</v>
      </c>
    </row>
    <row r="45" spans="1:15">
      <c r="A45" s="13">
        <v>605178</v>
      </c>
      <c r="B45" s="14">
        <v>64882.14</v>
      </c>
      <c r="C45" s="14">
        <v>3642</v>
      </c>
      <c r="D45" s="14">
        <v>1.9E-2</v>
      </c>
      <c r="E45" s="14">
        <v>13</v>
      </c>
      <c r="F45" s="14">
        <v>87.8</v>
      </c>
      <c r="G45" s="14">
        <v>4.5199999999999996</v>
      </c>
      <c r="H45" s="14">
        <v>0</v>
      </c>
      <c r="I45" s="14">
        <v>4.2</v>
      </c>
      <c r="J45" s="21">
        <f>IF('Cleaned Data'!C45 = "East", 1, 0)</f>
        <v>1</v>
      </c>
      <c r="K45" s="21">
        <f>IF('Cleaned Data'!C45 = "West", 1, 0)</f>
        <v>0</v>
      </c>
      <c r="L45" s="21">
        <f>IF('Cleaned Data'!C45 = "North", 1, 0)</f>
        <v>0</v>
      </c>
      <c r="M45" s="21">
        <f>IF('Cleaned Data'!D45 = "Airport", 1, 0)</f>
        <v>0</v>
      </c>
      <c r="N45" s="21">
        <f>IF('Cleaned Data'!D45 = "High Street", 1,0)</f>
        <v>0</v>
      </c>
      <c r="O45" s="21">
        <f>IF('Cleaned Data'!D45 = "Mall", 1,0)</f>
        <v>1</v>
      </c>
    </row>
    <row r="46" spans="1:15">
      <c r="A46" s="13">
        <v>595467.6</v>
      </c>
      <c r="B46" s="14">
        <v>138855.51</v>
      </c>
      <c r="C46" s="14">
        <v>5145</v>
      </c>
      <c r="D46" s="14">
        <v>0.06</v>
      </c>
      <c r="E46" s="14">
        <v>17</v>
      </c>
      <c r="F46" s="14">
        <v>88.2</v>
      </c>
      <c r="G46" s="14">
        <v>9.58</v>
      </c>
      <c r="H46" s="14">
        <v>0</v>
      </c>
      <c r="I46" s="14">
        <v>3.2</v>
      </c>
      <c r="J46" s="21">
        <f>IF('Cleaned Data'!C46 = "East", 1, 0)</f>
        <v>0</v>
      </c>
      <c r="K46" s="21">
        <f>IF('Cleaned Data'!C46 = "West", 1, 0)</f>
        <v>1</v>
      </c>
      <c r="L46" s="21">
        <f>IF('Cleaned Data'!C46 = "North", 1, 0)</f>
        <v>0</v>
      </c>
      <c r="M46" s="21">
        <f>IF('Cleaned Data'!D46 = "Airport", 1, 0)</f>
        <v>0</v>
      </c>
      <c r="N46" s="21">
        <f>IF('Cleaned Data'!D46 = "High Street", 1,0)</f>
        <v>0</v>
      </c>
      <c r="O46" s="21">
        <f>IF('Cleaned Data'!D46 = "Mall", 1,0)</f>
        <v>0</v>
      </c>
    </row>
    <row r="47" spans="1:15">
      <c r="A47" s="13">
        <v>599603.4</v>
      </c>
      <c r="B47" s="14">
        <v>63630.21</v>
      </c>
      <c r="C47" s="14">
        <v>4460</v>
      </c>
      <c r="D47" s="14">
        <v>0.23499999999999999</v>
      </c>
      <c r="E47" s="14">
        <v>14</v>
      </c>
      <c r="F47" s="14">
        <v>98.6</v>
      </c>
      <c r="G47" s="14">
        <v>5.52</v>
      </c>
      <c r="H47" s="14">
        <v>0</v>
      </c>
      <c r="I47" s="14">
        <v>3.5</v>
      </c>
      <c r="J47" s="21">
        <f>IF('Cleaned Data'!C47 = "East", 1, 0)</f>
        <v>0</v>
      </c>
      <c r="K47" s="21">
        <f>IF('Cleaned Data'!C47 = "West", 1, 0)</f>
        <v>1</v>
      </c>
      <c r="L47" s="21">
        <f>IF('Cleaned Data'!C47 = "North", 1, 0)</f>
        <v>0</v>
      </c>
      <c r="M47" s="21">
        <f>IF('Cleaned Data'!D47 = "Airport", 1, 0)</f>
        <v>0</v>
      </c>
      <c r="N47" s="21">
        <f>IF('Cleaned Data'!D47 = "High Street", 1,0)</f>
        <v>0</v>
      </c>
      <c r="O47" s="21">
        <f>IF('Cleaned Data'!D47 = "Mall", 1,0)</f>
        <v>0</v>
      </c>
    </row>
    <row r="48" spans="1:15">
      <c r="A48" s="13">
        <v>614800.09</v>
      </c>
      <c r="B48" s="14">
        <v>50043.65</v>
      </c>
      <c r="C48" s="14">
        <v>3804</v>
      </c>
      <c r="D48" s="14">
        <v>0.113</v>
      </c>
      <c r="E48" s="14">
        <v>11</v>
      </c>
      <c r="F48" s="14">
        <v>90.9</v>
      </c>
      <c r="G48" s="14">
        <v>2.7</v>
      </c>
      <c r="H48" s="14">
        <v>1</v>
      </c>
      <c r="I48" s="14">
        <v>3.2</v>
      </c>
      <c r="J48" s="21">
        <f>IF('Cleaned Data'!C48 = "East", 1, 0)</f>
        <v>0</v>
      </c>
      <c r="K48" s="21">
        <f>IF('Cleaned Data'!C48 = "West", 1, 0)</f>
        <v>1</v>
      </c>
      <c r="L48" s="21">
        <f>IF('Cleaned Data'!C48 = "North", 1, 0)</f>
        <v>0</v>
      </c>
      <c r="M48" s="21">
        <f>IF('Cleaned Data'!D48 = "Airport", 1, 0)</f>
        <v>0</v>
      </c>
      <c r="N48" s="21">
        <f>IF('Cleaned Data'!D48 = "High Street", 1,0)</f>
        <v>0</v>
      </c>
      <c r="O48" s="21">
        <f>IF('Cleaned Data'!D48 = "Mall", 1,0)</f>
        <v>0</v>
      </c>
    </row>
    <row r="49" spans="1:15">
      <c r="A49" s="13">
        <v>585365.73</v>
      </c>
      <c r="B49" s="14">
        <v>42093.84</v>
      </c>
      <c r="C49" s="14">
        <v>4074</v>
      </c>
      <c r="D49" s="14">
        <v>0.155</v>
      </c>
      <c r="E49" s="14">
        <v>15</v>
      </c>
      <c r="F49" s="14">
        <v>88</v>
      </c>
      <c r="G49" s="14">
        <v>9.64</v>
      </c>
      <c r="H49" s="14">
        <v>0</v>
      </c>
      <c r="I49" s="14">
        <v>3.3</v>
      </c>
      <c r="J49" s="21">
        <f>IF('Cleaned Data'!C49 = "East", 1, 0)</f>
        <v>0</v>
      </c>
      <c r="K49" s="21">
        <f>IF('Cleaned Data'!C49 = "West", 1, 0)</f>
        <v>1</v>
      </c>
      <c r="L49" s="21">
        <f>IF('Cleaned Data'!C49 = "North", 1, 0)</f>
        <v>0</v>
      </c>
      <c r="M49" s="21">
        <f>IF('Cleaned Data'!D49 = "Airport", 1, 0)</f>
        <v>0</v>
      </c>
      <c r="N49" s="21">
        <f>IF('Cleaned Data'!D49 = "High Street", 1,0)</f>
        <v>0</v>
      </c>
      <c r="O49" s="21">
        <f>IF('Cleaned Data'!D49 = "Mall", 1,0)</f>
        <v>0</v>
      </c>
    </row>
    <row r="50" spans="1:15">
      <c r="A50" s="13">
        <v>622811.74</v>
      </c>
      <c r="B50" s="14">
        <v>46624.05</v>
      </c>
      <c r="C50" s="14">
        <v>5104</v>
      </c>
      <c r="D50" s="14">
        <v>0.109</v>
      </c>
      <c r="E50" s="14">
        <v>11</v>
      </c>
      <c r="F50" s="14">
        <v>97.3</v>
      </c>
      <c r="G50" s="14">
        <v>3.49</v>
      </c>
      <c r="H50" s="14">
        <v>1</v>
      </c>
      <c r="I50" s="14">
        <v>4.7</v>
      </c>
      <c r="J50" s="21">
        <f>IF('Cleaned Data'!C50 = "East", 1, 0)</f>
        <v>0</v>
      </c>
      <c r="K50" s="21">
        <f>IF('Cleaned Data'!C50 = "West", 1, 0)</f>
        <v>0</v>
      </c>
      <c r="L50" s="21">
        <f>IF('Cleaned Data'!C50 = "North", 1, 0)</f>
        <v>1</v>
      </c>
      <c r="M50" s="21">
        <f>IF('Cleaned Data'!D50 = "Airport", 1, 0)</f>
        <v>0</v>
      </c>
      <c r="N50" s="21">
        <f>IF('Cleaned Data'!D50 = "High Street", 1,0)</f>
        <v>0</v>
      </c>
      <c r="O50" s="21">
        <f>IF('Cleaned Data'!D50 = "Mall", 1,0)</f>
        <v>1</v>
      </c>
    </row>
    <row r="51" spans="1:15">
      <c r="A51" s="13">
        <v>603297.56999999995</v>
      </c>
      <c r="B51" s="14">
        <v>49710.29</v>
      </c>
      <c r="C51" s="14">
        <v>5559</v>
      </c>
      <c r="D51" s="14">
        <v>0.218</v>
      </c>
      <c r="E51" s="14">
        <v>14</v>
      </c>
      <c r="F51" s="14">
        <v>71</v>
      </c>
      <c r="G51" s="14">
        <v>9.11</v>
      </c>
      <c r="H51" s="14">
        <v>0</v>
      </c>
      <c r="I51" s="14">
        <v>4.5999999999999996</v>
      </c>
      <c r="J51" s="21">
        <f>IF('Cleaned Data'!C51 = "East", 1, 0)</f>
        <v>0</v>
      </c>
      <c r="K51" s="21">
        <f>IF('Cleaned Data'!C51 = "West", 1, 0)</f>
        <v>0</v>
      </c>
      <c r="L51" s="21">
        <f>IF('Cleaned Data'!C51 = "North", 1, 0)</f>
        <v>1</v>
      </c>
      <c r="M51" s="21">
        <f>IF('Cleaned Data'!D51 = "Airport", 1, 0)</f>
        <v>0</v>
      </c>
      <c r="N51" s="21">
        <f>IF('Cleaned Data'!D51 = "High Street", 1,0)</f>
        <v>0</v>
      </c>
      <c r="O51" s="21">
        <f>IF('Cleaned Data'!D51 = "Mall", 1,0)</f>
        <v>1</v>
      </c>
    </row>
    <row r="52" spans="1:15">
      <c r="A52" s="13">
        <v>625672.86</v>
      </c>
      <c r="B52" s="14">
        <v>48287.85</v>
      </c>
      <c r="C52" s="14">
        <v>5150</v>
      </c>
      <c r="D52" s="14">
        <v>8.0000000000000002E-3</v>
      </c>
      <c r="E52" s="14">
        <v>12</v>
      </c>
      <c r="F52" s="14">
        <v>80.400000000000006</v>
      </c>
      <c r="G52" s="14">
        <v>7.4</v>
      </c>
      <c r="H52" s="14">
        <v>0</v>
      </c>
      <c r="I52" s="14">
        <v>4.5</v>
      </c>
      <c r="J52" s="21">
        <f>IF('Cleaned Data'!C52 = "East", 1, 0)</f>
        <v>0</v>
      </c>
      <c r="K52" s="21">
        <f>IF('Cleaned Data'!C52 = "West", 1, 0)</f>
        <v>0</v>
      </c>
      <c r="L52" s="21">
        <f>IF('Cleaned Data'!C52 = "North", 1, 0)</f>
        <v>1</v>
      </c>
      <c r="M52" s="21">
        <f>IF('Cleaned Data'!D52 = "Airport", 1, 0)</f>
        <v>0</v>
      </c>
      <c r="N52" s="21">
        <f>IF('Cleaned Data'!D52 = "High Street", 1,0)</f>
        <v>0</v>
      </c>
      <c r="O52" s="21">
        <f>IF('Cleaned Data'!D52 = "Mall", 1,0)</f>
        <v>1</v>
      </c>
    </row>
    <row r="53" spans="1:15">
      <c r="A53" s="13">
        <v>773815.14</v>
      </c>
      <c r="B53" s="14">
        <v>65312.49</v>
      </c>
      <c r="C53" s="14">
        <v>7189</v>
      </c>
      <c r="D53" s="14">
        <v>0.05</v>
      </c>
      <c r="E53" s="14">
        <v>19</v>
      </c>
      <c r="F53" s="14">
        <v>93.7</v>
      </c>
      <c r="G53" s="14">
        <v>7.16</v>
      </c>
      <c r="H53" s="14">
        <v>0</v>
      </c>
      <c r="I53" s="14">
        <v>4.5999999999999996</v>
      </c>
      <c r="J53" s="21">
        <f>IF('Cleaned Data'!C53 = "East", 1, 0)</f>
        <v>0</v>
      </c>
      <c r="K53" s="21">
        <f>IF('Cleaned Data'!C53 = "West", 1, 0)</f>
        <v>0</v>
      </c>
      <c r="L53" s="21">
        <f>IF('Cleaned Data'!C53 = "North", 1, 0)</f>
        <v>1</v>
      </c>
      <c r="M53" s="21">
        <f>IF('Cleaned Data'!D53 = "Airport", 1, 0)</f>
        <v>0</v>
      </c>
      <c r="N53" s="21">
        <f>IF('Cleaned Data'!D53 = "High Street", 1,0)</f>
        <v>0</v>
      </c>
      <c r="O53" s="21">
        <f>IF('Cleaned Data'!D53 = "Mall", 1,0)</f>
        <v>1</v>
      </c>
    </row>
    <row r="54" spans="1:15">
      <c r="A54" s="13">
        <v>463534.25</v>
      </c>
      <c r="B54" s="14">
        <v>53015.46</v>
      </c>
      <c r="C54" s="14">
        <v>3279</v>
      </c>
      <c r="D54" s="14">
        <v>8.6999999999999994E-2</v>
      </c>
      <c r="E54" s="14">
        <v>9</v>
      </c>
      <c r="F54" s="14">
        <v>84.3</v>
      </c>
      <c r="G54" s="14">
        <v>22.02</v>
      </c>
      <c r="H54" s="14">
        <v>0</v>
      </c>
      <c r="I54" s="14">
        <v>3.9</v>
      </c>
      <c r="J54" s="21">
        <f>IF('Cleaned Data'!C54 = "East", 1, 0)</f>
        <v>0</v>
      </c>
      <c r="K54" s="21">
        <f>IF('Cleaned Data'!C54 = "West", 1, 0)</f>
        <v>1</v>
      </c>
      <c r="L54" s="21">
        <f>IF('Cleaned Data'!C54 = "North", 1, 0)</f>
        <v>0</v>
      </c>
      <c r="M54" s="21">
        <f>IF('Cleaned Data'!D54 = "Airport", 1, 0)</f>
        <v>0</v>
      </c>
      <c r="N54" s="21">
        <f>IF('Cleaned Data'!D54 = "High Street", 1,0)</f>
        <v>1</v>
      </c>
      <c r="O54" s="21">
        <f>IF('Cleaned Data'!D54 = "Mall", 1,0)</f>
        <v>0</v>
      </c>
    </row>
    <row r="55" spans="1:15">
      <c r="A55" s="13">
        <v>746677.75</v>
      </c>
      <c r="B55" s="14">
        <v>99874.01</v>
      </c>
      <c r="C55" s="14">
        <v>5887</v>
      </c>
      <c r="D55" s="14">
        <v>0.26200000000000001</v>
      </c>
      <c r="E55" s="14">
        <v>14</v>
      </c>
      <c r="F55" s="14">
        <v>88.7</v>
      </c>
      <c r="G55" s="14">
        <v>6.18</v>
      </c>
      <c r="H55" s="14">
        <v>0</v>
      </c>
      <c r="I55" s="14">
        <v>4.7</v>
      </c>
      <c r="J55" s="21">
        <f>IF('Cleaned Data'!C55 = "East", 1, 0)</f>
        <v>0</v>
      </c>
      <c r="K55" s="21">
        <f>IF('Cleaned Data'!C55 = "West", 1, 0)</f>
        <v>1</v>
      </c>
      <c r="L55" s="21">
        <f>IF('Cleaned Data'!C55 = "North", 1, 0)</f>
        <v>0</v>
      </c>
      <c r="M55" s="21">
        <f>IF('Cleaned Data'!D55 = "Airport", 1, 0)</f>
        <v>0</v>
      </c>
      <c r="N55" s="21">
        <f>IF('Cleaned Data'!D55 = "High Street", 1,0)</f>
        <v>1</v>
      </c>
      <c r="O55" s="21">
        <f>IF('Cleaned Data'!D55 = "Mall", 1,0)</f>
        <v>0</v>
      </c>
    </row>
    <row r="56" spans="1:15">
      <c r="A56" s="13">
        <v>720852.5</v>
      </c>
      <c r="B56" s="14">
        <v>81195.5</v>
      </c>
      <c r="C56" s="14">
        <v>5516</v>
      </c>
      <c r="D56" s="14">
        <v>0.106</v>
      </c>
      <c r="E56" s="14">
        <v>14</v>
      </c>
      <c r="F56" s="14">
        <v>88</v>
      </c>
      <c r="G56" s="14">
        <v>1.76</v>
      </c>
      <c r="H56" s="14">
        <v>0</v>
      </c>
      <c r="I56" s="14">
        <v>4.3</v>
      </c>
      <c r="J56" s="21">
        <f>IF('Cleaned Data'!C56 = "East", 1, 0)</f>
        <v>0</v>
      </c>
      <c r="K56" s="21">
        <f>IF('Cleaned Data'!C56 = "West", 1, 0)</f>
        <v>1</v>
      </c>
      <c r="L56" s="21">
        <f>IF('Cleaned Data'!C56 = "North", 1, 0)</f>
        <v>0</v>
      </c>
      <c r="M56" s="21">
        <f>IF('Cleaned Data'!D56 = "Airport", 1, 0)</f>
        <v>0</v>
      </c>
      <c r="N56" s="21">
        <f>IF('Cleaned Data'!D56 = "High Street", 1,0)</f>
        <v>1</v>
      </c>
      <c r="O56" s="21">
        <f>IF('Cleaned Data'!D56 = "Mall", 1,0)</f>
        <v>0</v>
      </c>
    </row>
    <row r="57" spans="1:15">
      <c r="A57" s="13">
        <v>487464.91</v>
      </c>
      <c r="B57" s="14">
        <v>27808.6</v>
      </c>
      <c r="C57" s="14">
        <v>2863</v>
      </c>
      <c r="D57" s="14">
        <v>0.08</v>
      </c>
      <c r="E57" s="14">
        <v>13</v>
      </c>
      <c r="F57" s="14">
        <v>89.3</v>
      </c>
      <c r="G57" s="14">
        <v>0.47</v>
      </c>
      <c r="H57" s="14">
        <v>0</v>
      </c>
      <c r="I57" s="14">
        <v>4.0999999999999996</v>
      </c>
      <c r="J57" s="21">
        <f>IF('Cleaned Data'!C57 = "East", 1, 0)</f>
        <v>0</v>
      </c>
      <c r="K57" s="21">
        <f>IF('Cleaned Data'!C57 = "West", 1, 0)</f>
        <v>1</v>
      </c>
      <c r="L57" s="21">
        <f>IF('Cleaned Data'!C57 = "North", 1, 0)</f>
        <v>0</v>
      </c>
      <c r="M57" s="21">
        <f>IF('Cleaned Data'!D57 = "Airport", 1, 0)</f>
        <v>0</v>
      </c>
      <c r="N57" s="21">
        <f>IF('Cleaned Data'!D57 = "High Street", 1,0)</f>
        <v>1</v>
      </c>
      <c r="O57" s="21">
        <f>IF('Cleaned Data'!D57 = "Mall", 1,0)</f>
        <v>0</v>
      </c>
    </row>
    <row r="58" spans="1:15">
      <c r="A58" s="13">
        <v>518049.26</v>
      </c>
      <c r="B58" s="14">
        <v>19365.060000000001</v>
      </c>
      <c r="C58" s="14">
        <v>2378</v>
      </c>
      <c r="D58" s="14">
        <v>0</v>
      </c>
      <c r="E58" s="14">
        <v>12</v>
      </c>
      <c r="F58" s="14">
        <v>94.8</v>
      </c>
      <c r="G58" s="14">
        <v>0.2</v>
      </c>
      <c r="H58" s="14">
        <v>0</v>
      </c>
      <c r="I58" s="14">
        <v>3.5</v>
      </c>
      <c r="J58" s="21">
        <f>IF('Cleaned Data'!C58 = "East", 1, 0)</f>
        <v>1</v>
      </c>
      <c r="K58" s="21">
        <f>IF('Cleaned Data'!C58 = "West", 1, 0)</f>
        <v>0</v>
      </c>
      <c r="L58" s="21">
        <f>IF('Cleaned Data'!C58 = "North", 1, 0)</f>
        <v>0</v>
      </c>
      <c r="M58" s="21">
        <f>IF('Cleaned Data'!D58 = "Airport", 1, 0)</f>
        <v>1</v>
      </c>
      <c r="N58" s="21">
        <f>IF('Cleaned Data'!D58 = "High Street", 1,0)</f>
        <v>0</v>
      </c>
      <c r="O58" s="21">
        <f>IF('Cleaned Data'!D58 = "Mall", 1,0)</f>
        <v>0</v>
      </c>
    </row>
    <row r="59" spans="1:15">
      <c r="A59" s="13">
        <v>500298.48</v>
      </c>
      <c r="B59" s="14">
        <v>59405.68</v>
      </c>
      <c r="C59" s="14">
        <v>2515</v>
      </c>
      <c r="D59" s="14">
        <v>3.9E-2</v>
      </c>
      <c r="E59" s="14">
        <v>12</v>
      </c>
      <c r="F59" s="14">
        <v>76</v>
      </c>
      <c r="G59" s="14">
        <v>5.1100000000000003</v>
      </c>
      <c r="H59" s="14">
        <v>0</v>
      </c>
      <c r="I59" s="14">
        <v>3.7</v>
      </c>
      <c r="J59" s="21">
        <f>IF('Cleaned Data'!C59 = "East", 1, 0)</f>
        <v>1</v>
      </c>
      <c r="K59" s="21">
        <f>IF('Cleaned Data'!C59 = "West", 1, 0)</f>
        <v>0</v>
      </c>
      <c r="L59" s="21">
        <f>IF('Cleaned Data'!C59 = "North", 1, 0)</f>
        <v>0</v>
      </c>
      <c r="M59" s="21">
        <f>IF('Cleaned Data'!D59 = "Airport", 1, 0)</f>
        <v>1</v>
      </c>
      <c r="N59" s="21">
        <f>IF('Cleaned Data'!D59 = "High Street", 1,0)</f>
        <v>0</v>
      </c>
      <c r="O59" s="21">
        <f>IF('Cleaned Data'!D59 = "Mall", 1,0)</f>
        <v>0</v>
      </c>
    </row>
    <row r="60" spans="1:15">
      <c r="A60" s="13">
        <v>617291.15</v>
      </c>
      <c r="B60" s="14">
        <v>118910.48</v>
      </c>
      <c r="C60" s="14">
        <v>4022</v>
      </c>
      <c r="D60" s="14">
        <v>0.13700000000000001</v>
      </c>
      <c r="E60" s="14">
        <v>11</v>
      </c>
      <c r="F60" s="14">
        <v>87.1</v>
      </c>
      <c r="G60" s="14">
        <v>0.2</v>
      </c>
      <c r="H60" s="14">
        <v>0</v>
      </c>
      <c r="I60" s="14">
        <v>3.1</v>
      </c>
      <c r="J60" s="21">
        <f>IF('Cleaned Data'!C60 = "East", 1, 0)</f>
        <v>1</v>
      </c>
      <c r="K60" s="21">
        <f>IF('Cleaned Data'!C60 = "West", 1, 0)</f>
        <v>0</v>
      </c>
      <c r="L60" s="21">
        <f>IF('Cleaned Data'!C60 = "North", 1, 0)</f>
        <v>0</v>
      </c>
      <c r="M60" s="21">
        <f>IF('Cleaned Data'!D60 = "Airport", 1, 0)</f>
        <v>1</v>
      </c>
      <c r="N60" s="21">
        <f>IF('Cleaned Data'!D60 = "High Street", 1,0)</f>
        <v>0</v>
      </c>
      <c r="O60" s="21">
        <f>IF('Cleaned Data'!D60 = "Mall", 1,0)</f>
        <v>0</v>
      </c>
    </row>
    <row r="61" spans="1:15">
      <c r="A61" s="13">
        <v>553756.43000000005</v>
      </c>
      <c r="B61" s="14">
        <v>52952.12</v>
      </c>
      <c r="C61" s="14">
        <v>4377</v>
      </c>
      <c r="D61" s="14">
        <v>9.1999999999999998E-2</v>
      </c>
      <c r="E61" s="14">
        <v>14</v>
      </c>
      <c r="F61" s="14">
        <v>88.6</v>
      </c>
      <c r="G61" s="14">
        <v>13.59</v>
      </c>
      <c r="H61" s="14">
        <v>0</v>
      </c>
      <c r="I61" s="14">
        <v>3.1</v>
      </c>
      <c r="J61" s="21">
        <f>IF('Cleaned Data'!C61 = "East", 1, 0)</f>
        <v>1</v>
      </c>
      <c r="K61" s="21">
        <f>IF('Cleaned Data'!C61 = "West", 1, 0)</f>
        <v>0</v>
      </c>
      <c r="L61" s="21">
        <f>IF('Cleaned Data'!C61 = "North", 1, 0)</f>
        <v>0</v>
      </c>
      <c r="M61" s="21">
        <f>IF('Cleaned Data'!D61 = "Airport", 1, 0)</f>
        <v>1</v>
      </c>
      <c r="N61" s="21">
        <f>IF('Cleaned Data'!D61 = "High Street", 1,0)</f>
        <v>0</v>
      </c>
      <c r="O61" s="21">
        <f>IF('Cleaned Data'!D61 = "Mall", 1,0)</f>
        <v>0</v>
      </c>
    </row>
    <row r="62" spans="1:15">
      <c r="A62" s="13">
        <v>749559.71</v>
      </c>
      <c r="B62" s="14">
        <v>74907.98</v>
      </c>
      <c r="C62" s="14">
        <v>5306</v>
      </c>
      <c r="D62" s="14">
        <v>6.2E-2</v>
      </c>
      <c r="E62" s="14">
        <v>16</v>
      </c>
      <c r="F62" s="14">
        <v>95.6</v>
      </c>
      <c r="G62" s="14">
        <v>1.02</v>
      </c>
      <c r="H62" s="14">
        <v>0</v>
      </c>
      <c r="I62" s="14">
        <v>3.7</v>
      </c>
      <c r="J62" s="21">
        <f>IF('Cleaned Data'!C62 = "East", 1, 0)</f>
        <v>0</v>
      </c>
      <c r="K62" s="21">
        <f>IF('Cleaned Data'!C62 = "West", 1, 0)</f>
        <v>0</v>
      </c>
      <c r="L62" s="21">
        <f>IF('Cleaned Data'!C62 = "North", 1, 0)</f>
        <v>0</v>
      </c>
      <c r="M62" s="21">
        <f>IF('Cleaned Data'!D62 = "Airport", 1, 0)</f>
        <v>0</v>
      </c>
      <c r="N62" s="21">
        <f>IF('Cleaned Data'!D62 = "High Street", 1,0)</f>
        <v>1</v>
      </c>
      <c r="O62" s="21">
        <f>IF('Cleaned Data'!D62 = "Mall", 1,0)</f>
        <v>0</v>
      </c>
    </row>
    <row r="63" spans="1:15">
      <c r="A63" s="13">
        <v>615966.48</v>
      </c>
      <c r="B63" s="14">
        <v>37284.660000000003</v>
      </c>
      <c r="C63" s="14">
        <v>3928</v>
      </c>
      <c r="D63" s="14">
        <v>7.3999999999999996E-2</v>
      </c>
      <c r="E63" s="14">
        <v>12</v>
      </c>
      <c r="F63" s="14">
        <v>86.5</v>
      </c>
      <c r="G63" s="14">
        <v>1.64</v>
      </c>
      <c r="H63" s="14">
        <v>0</v>
      </c>
      <c r="I63" s="14">
        <v>3.8</v>
      </c>
      <c r="J63" s="21">
        <f>IF('Cleaned Data'!C63 = "East", 1, 0)</f>
        <v>0</v>
      </c>
      <c r="K63" s="21">
        <f>IF('Cleaned Data'!C63 = "West", 1, 0)</f>
        <v>0</v>
      </c>
      <c r="L63" s="21">
        <f>IF('Cleaned Data'!C63 = "North", 1, 0)</f>
        <v>0</v>
      </c>
      <c r="M63" s="21">
        <f>IF('Cleaned Data'!D63 = "Airport", 1, 0)</f>
        <v>0</v>
      </c>
      <c r="N63" s="21">
        <f>IF('Cleaned Data'!D63 = "High Street", 1,0)</f>
        <v>1</v>
      </c>
      <c r="O63" s="21">
        <f>IF('Cleaned Data'!D63 = "Mall", 1,0)</f>
        <v>0</v>
      </c>
    </row>
    <row r="64" spans="1:15">
      <c r="A64" s="13">
        <v>572011.19999999995</v>
      </c>
      <c r="B64" s="14">
        <v>50343.19</v>
      </c>
      <c r="C64" s="14">
        <v>3845</v>
      </c>
      <c r="D64" s="14">
        <v>0.113</v>
      </c>
      <c r="E64" s="14">
        <v>9</v>
      </c>
      <c r="F64" s="14">
        <v>88.7</v>
      </c>
      <c r="G64" s="14">
        <v>5.15</v>
      </c>
      <c r="H64" s="14">
        <v>0</v>
      </c>
      <c r="I64" s="14">
        <v>3.3</v>
      </c>
      <c r="J64" s="21">
        <f>IF('Cleaned Data'!C64 = "East", 1, 0)</f>
        <v>0</v>
      </c>
      <c r="K64" s="21">
        <f>IF('Cleaned Data'!C64 = "West", 1, 0)</f>
        <v>0</v>
      </c>
      <c r="L64" s="21">
        <f>IF('Cleaned Data'!C64 = "North", 1, 0)</f>
        <v>0</v>
      </c>
      <c r="M64" s="21">
        <f>IF('Cleaned Data'!D64 = "Airport", 1, 0)</f>
        <v>0</v>
      </c>
      <c r="N64" s="21">
        <f>IF('Cleaned Data'!D64 = "High Street", 1,0)</f>
        <v>1</v>
      </c>
      <c r="O64" s="21">
        <f>IF('Cleaned Data'!D64 = "Mall", 1,0)</f>
        <v>0</v>
      </c>
    </row>
    <row r="65" spans="1:15">
      <c r="A65" s="13">
        <v>761860.19</v>
      </c>
      <c r="B65" s="14">
        <v>74954.47</v>
      </c>
      <c r="C65" s="14">
        <v>6620</v>
      </c>
      <c r="D65" s="14">
        <v>5.3999999999999999E-2</v>
      </c>
      <c r="E65" s="14">
        <v>17</v>
      </c>
      <c r="F65" s="14">
        <v>91.1</v>
      </c>
      <c r="G65" s="14">
        <v>1.1100000000000001</v>
      </c>
      <c r="H65" s="14">
        <v>0</v>
      </c>
      <c r="I65" s="14">
        <v>3.5</v>
      </c>
      <c r="J65" s="21">
        <f>IF('Cleaned Data'!C65 = "East", 1, 0)</f>
        <v>0</v>
      </c>
      <c r="K65" s="21">
        <f>IF('Cleaned Data'!C65 = "West", 1, 0)</f>
        <v>0</v>
      </c>
      <c r="L65" s="21">
        <f>IF('Cleaned Data'!C65 = "North", 1, 0)</f>
        <v>0</v>
      </c>
      <c r="M65" s="21">
        <f>IF('Cleaned Data'!D65 = "Airport", 1, 0)</f>
        <v>0</v>
      </c>
      <c r="N65" s="21">
        <f>IF('Cleaned Data'!D65 = "High Street", 1,0)</f>
        <v>1</v>
      </c>
      <c r="O65" s="21">
        <f>IF('Cleaned Data'!D65 = "Mall", 1,0)</f>
        <v>0</v>
      </c>
    </row>
    <row r="66" spans="1:15">
      <c r="A66" s="13">
        <v>784502.68</v>
      </c>
      <c r="B66" s="14">
        <v>70040.31</v>
      </c>
      <c r="C66" s="14">
        <v>9175</v>
      </c>
      <c r="D66" s="14">
        <v>0.107</v>
      </c>
      <c r="E66" s="14">
        <v>23</v>
      </c>
      <c r="F66" s="14">
        <v>95.1</v>
      </c>
      <c r="G66" s="14">
        <v>6.08</v>
      </c>
      <c r="H66" s="14">
        <v>1</v>
      </c>
      <c r="I66" s="14">
        <v>3.4</v>
      </c>
      <c r="J66" s="21">
        <f>IF('Cleaned Data'!C66 = "East", 1, 0)</f>
        <v>0</v>
      </c>
      <c r="K66" s="21">
        <f>IF('Cleaned Data'!C66 = "West", 1, 0)</f>
        <v>1</v>
      </c>
      <c r="L66" s="21">
        <f>IF('Cleaned Data'!C66 = "North", 1, 0)</f>
        <v>0</v>
      </c>
      <c r="M66" s="21">
        <f>IF('Cleaned Data'!D66 = "Airport", 1, 0)</f>
        <v>0</v>
      </c>
      <c r="N66" s="21">
        <f>IF('Cleaned Data'!D66 = "High Street", 1,0)</f>
        <v>1</v>
      </c>
      <c r="O66" s="21">
        <f>IF('Cleaned Data'!D66 = "Mall", 1,0)</f>
        <v>0</v>
      </c>
    </row>
    <row r="67" spans="1:15">
      <c r="A67" s="13">
        <v>717141.55</v>
      </c>
      <c r="B67" s="14">
        <v>51148.69</v>
      </c>
      <c r="C67" s="14">
        <v>7940</v>
      </c>
      <c r="D67" s="14">
        <v>0.156</v>
      </c>
      <c r="E67" s="14">
        <v>18</v>
      </c>
      <c r="F67" s="14">
        <v>93.3</v>
      </c>
      <c r="G67" s="14">
        <v>10.91</v>
      </c>
      <c r="H67" s="14">
        <v>0</v>
      </c>
      <c r="I67" s="14">
        <v>3.6</v>
      </c>
      <c r="J67" s="21">
        <f>IF('Cleaned Data'!C67 = "East", 1, 0)</f>
        <v>0</v>
      </c>
      <c r="K67" s="21">
        <f>IF('Cleaned Data'!C67 = "West", 1, 0)</f>
        <v>1</v>
      </c>
      <c r="L67" s="21">
        <f>IF('Cleaned Data'!C67 = "North", 1, 0)</f>
        <v>0</v>
      </c>
      <c r="M67" s="21">
        <f>IF('Cleaned Data'!D67 = "Airport", 1, 0)</f>
        <v>0</v>
      </c>
      <c r="N67" s="21">
        <f>IF('Cleaned Data'!D67 = "High Street", 1,0)</f>
        <v>1</v>
      </c>
      <c r="O67" s="21">
        <f>IF('Cleaned Data'!D67 = "Mall", 1,0)</f>
        <v>0</v>
      </c>
    </row>
    <row r="68" spans="1:15">
      <c r="A68" s="13">
        <v>685379.08</v>
      </c>
      <c r="B68" s="14">
        <v>79346.100000000006</v>
      </c>
      <c r="C68" s="14">
        <v>9628</v>
      </c>
      <c r="D68" s="14">
        <v>0.10199999999999999</v>
      </c>
      <c r="E68" s="14">
        <v>20</v>
      </c>
      <c r="F68" s="14">
        <v>99</v>
      </c>
      <c r="G68" s="14">
        <v>19.010000000000002</v>
      </c>
      <c r="H68" s="14">
        <v>1</v>
      </c>
      <c r="I68" s="14">
        <v>3.2</v>
      </c>
      <c r="J68" s="21">
        <f>IF('Cleaned Data'!C68 = "East", 1, 0)</f>
        <v>0</v>
      </c>
      <c r="K68" s="21">
        <f>IF('Cleaned Data'!C68 = "West", 1, 0)</f>
        <v>1</v>
      </c>
      <c r="L68" s="21">
        <f>IF('Cleaned Data'!C68 = "North", 1, 0)</f>
        <v>0</v>
      </c>
      <c r="M68" s="21">
        <f>IF('Cleaned Data'!D68 = "Airport", 1, 0)</f>
        <v>0</v>
      </c>
      <c r="N68" s="21">
        <f>IF('Cleaned Data'!D68 = "High Street", 1,0)</f>
        <v>1</v>
      </c>
      <c r="O68" s="21">
        <f>IF('Cleaned Data'!D68 = "Mall", 1,0)</f>
        <v>0</v>
      </c>
    </row>
    <row r="69" spans="1:15">
      <c r="A69" s="13">
        <v>740496.65</v>
      </c>
      <c r="B69" s="14">
        <v>42018.400000000001</v>
      </c>
      <c r="C69" s="14">
        <v>8296</v>
      </c>
      <c r="D69" s="14">
        <v>0.115</v>
      </c>
      <c r="E69" s="14">
        <v>17</v>
      </c>
      <c r="F69" s="14">
        <v>91.8</v>
      </c>
      <c r="G69" s="14">
        <v>0.77</v>
      </c>
      <c r="H69" s="14">
        <v>0</v>
      </c>
      <c r="I69" s="14">
        <v>3.4</v>
      </c>
      <c r="J69" s="21">
        <f>IF('Cleaned Data'!C69 = "East", 1, 0)</f>
        <v>0</v>
      </c>
      <c r="K69" s="21">
        <f>IF('Cleaned Data'!C69 = "West", 1, 0)</f>
        <v>1</v>
      </c>
      <c r="L69" s="21">
        <f>IF('Cleaned Data'!C69 = "North", 1, 0)</f>
        <v>0</v>
      </c>
      <c r="M69" s="21">
        <f>IF('Cleaned Data'!D69 = "Airport", 1, 0)</f>
        <v>0</v>
      </c>
      <c r="N69" s="21">
        <f>IF('Cleaned Data'!D69 = "High Street", 1,0)</f>
        <v>1</v>
      </c>
      <c r="O69" s="21">
        <f>IF('Cleaned Data'!D69 = "Mall", 1,0)</f>
        <v>0</v>
      </c>
    </row>
    <row r="70" spans="1:15">
      <c r="A70" s="13">
        <v>661927.14</v>
      </c>
      <c r="B70" s="14">
        <v>70937.240000000005</v>
      </c>
      <c r="C70" s="14">
        <v>3595</v>
      </c>
      <c r="D70" s="14">
        <v>0.14099999999999999</v>
      </c>
      <c r="E70" s="14">
        <v>11</v>
      </c>
      <c r="F70" s="14">
        <v>88.9</v>
      </c>
      <c r="G70" s="14">
        <v>2.83</v>
      </c>
      <c r="H70" s="14">
        <v>1</v>
      </c>
      <c r="I70" s="14">
        <v>3.3</v>
      </c>
      <c r="J70" s="21">
        <f>IF('Cleaned Data'!C70 = "East", 1, 0)</f>
        <v>1</v>
      </c>
      <c r="K70" s="21">
        <f>IF('Cleaned Data'!C70 = "West", 1, 0)</f>
        <v>0</v>
      </c>
      <c r="L70" s="21">
        <f>IF('Cleaned Data'!C70 = "North", 1, 0)</f>
        <v>0</v>
      </c>
      <c r="M70" s="21">
        <f>IF('Cleaned Data'!D70 = "Airport", 1, 0)</f>
        <v>0</v>
      </c>
      <c r="N70" s="21">
        <f>IF('Cleaned Data'!D70 = "High Street", 1,0)</f>
        <v>1</v>
      </c>
      <c r="O70" s="21">
        <f>IF('Cleaned Data'!D70 = "Mall", 1,0)</f>
        <v>0</v>
      </c>
    </row>
    <row r="71" spans="1:15">
      <c r="A71" s="13">
        <v>479050.5</v>
      </c>
      <c r="B71" s="14">
        <v>36813.449999999997</v>
      </c>
      <c r="C71" s="14">
        <v>2834</v>
      </c>
      <c r="D71" s="14">
        <v>0.191</v>
      </c>
      <c r="E71" s="14">
        <v>11</v>
      </c>
      <c r="F71" s="14">
        <v>81.8</v>
      </c>
      <c r="G71" s="14">
        <v>2.33</v>
      </c>
      <c r="H71" s="14">
        <v>0</v>
      </c>
      <c r="I71" s="14">
        <v>3.3</v>
      </c>
      <c r="J71" s="21">
        <f>IF('Cleaned Data'!C71 = "East", 1, 0)</f>
        <v>1</v>
      </c>
      <c r="K71" s="21">
        <f>IF('Cleaned Data'!C71 = "West", 1, 0)</f>
        <v>0</v>
      </c>
      <c r="L71" s="21">
        <f>IF('Cleaned Data'!C71 = "North", 1, 0)</f>
        <v>0</v>
      </c>
      <c r="M71" s="21">
        <f>IF('Cleaned Data'!D71 = "Airport", 1, 0)</f>
        <v>0</v>
      </c>
      <c r="N71" s="21">
        <f>IF('Cleaned Data'!D71 = "High Street", 1,0)</f>
        <v>1</v>
      </c>
      <c r="O71" s="21">
        <f>IF('Cleaned Data'!D71 = "Mall", 1,0)</f>
        <v>0</v>
      </c>
    </row>
    <row r="72" spans="1:15">
      <c r="A72" s="13">
        <v>605023.87</v>
      </c>
      <c r="B72" s="14">
        <v>60571.82</v>
      </c>
      <c r="C72" s="14">
        <v>3193</v>
      </c>
      <c r="D72" s="14">
        <v>0.19700000000000001</v>
      </c>
      <c r="E72" s="14">
        <v>7</v>
      </c>
      <c r="F72" s="14">
        <v>99</v>
      </c>
      <c r="G72" s="14">
        <v>1.43</v>
      </c>
      <c r="H72" s="14">
        <v>0</v>
      </c>
      <c r="I72" s="14">
        <v>3.2</v>
      </c>
      <c r="J72" s="21">
        <f>IF('Cleaned Data'!C72 = "East", 1, 0)</f>
        <v>1</v>
      </c>
      <c r="K72" s="21">
        <f>IF('Cleaned Data'!C72 = "West", 1, 0)</f>
        <v>0</v>
      </c>
      <c r="L72" s="21">
        <f>IF('Cleaned Data'!C72 = "North", 1, 0)</f>
        <v>0</v>
      </c>
      <c r="M72" s="21">
        <f>IF('Cleaned Data'!D72 = "Airport", 1, 0)</f>
        <v>0</v>
      </c>
      <c r="N72" s="21">
        <f>IF('Cleaned Data'!D72 = "High Street", 1,0)</f>
        <v>1</v>
      </c>
      <c r="O72" s="21">
        <f>IF('Cleaned Data'!D72 = "Mall", 1,0)</f>
        <v>0</v>
      </c>
    </row>
    <row r="73" spans="1:15">
      <c r="A73" s="13">
        <v>674774.09</v>
      </c>
      <c r="B73" s="14">
        <v>55081.16</v>
      </c>
      <c r="C73" s="14">
        <v>5485</v>
      </c>
      <c r="D73" s="14">
        <v>3.5999999999999997E-2</v>
      </c>
      <c r="E73" s="14">
        <v>12</v>
      </c>
      <c r="F73" s="14">
        <v>88</v>
      </c>
      <c r="G73" s="14">
        <v>3.3650000000000002</v>
      </c>
      <c r="H73" s="14">
        <v>0</v>
      </c>
      <c r="I73" s="14">
        <v>3.5</v>
      </c>
      <c r="J73" s="21">
        <f>IF('Cleaned Data'!C73 = "East", 1, 0)</f>
        <v>1</v>
      </c>
      <c r="K73" s="21">
        <f>IF('Cleaned Data'!C73 = "West", 1, 0)</f>
        <v>0</v>
      </c>
      <c r="L73" s="21">
        <f>IF('Cleaned Data'!C73 = "North", 1, 0)</f>
        <v>0</v>
      </c>
      <c r="M73" s="21">
        <f>IF('Cleaned Data'!D73 = "Airport", 1, 0)</f>
        <v>0</v>
      </c>
      <c r="N73" s="21">
        <f>IF('Cleaned Data'!D73 = "High Street", 1,0)</f>
        <v>1</v>
      </c>
      <c r="O73" s="21">
        <f>IF('Cleaned Data'!D73 = "Mall", 1,0)</f>
        <v>0</v>
      </c>
    </row>
    <row r="74" spans="1:15">
      <c r="A74" s="13">
        <v>616069.41</v>
      </c>
      <c r="B74" s="14">
        <v>46201.46</v>
      </c>
      <c r="C74" s="14">
        <v>5918</v>
      </c>
      <c r="D74" s="14">
        <v>0.27700000000000002</v>
      </c>
      <c r="E74" s="14">
        <v>13</v>
      </c>
      <c r="F74" s="14">
        <v>78.8</v>
      </c>
      <c r="G74" s="14">
        <v>4.91</v>
      </c>
      <c r="H74" s="14">
        <v>0</v>
      </c>
      <c r="I74" s="14">
        <v>4.5</v>
      </c>
      <c r="J74" s="21">
        <f>IF('Cleaned Data'!C74 = "East", 1, 0)</f>
        <v>1</v>
      </c>
      <c r="K74" s="21">
        <f>IF('Cleaned Data'!C74 = "West", 1, 0)</f>
        <v>0</v>
      </c>
      <c r="L74" s="21">
        <f>IF('Cleaned Data'!C74 = "North", 1, 0)</f>
        <v>0</v>
      </c>
      <c r="M74" s="21">
        <f>IF('Cleaned Data'!D74 = "Airport", 1, 0)</f>
        <v>0</v>
      </c>
      <c r="N74" s="21">
        <f>IF('Cleaned Data'!D74 = "High Street", 1,0)</f>
        <v>0</v>
      </c>
      <c r="O74" s="21">
        <f>IF('Cleaned Data'!D74 = "Mall", 1,0)</f>
        <v>0</v>
      </c>
    </row>
    <row r="75" spans="1:15">
      <c r="A75" s="13">
        <v>630829.93999999994</v>
      </c>
      <c r="B75" s="14">
        <v>53762.92</v>
      </c>
      <c r="C75" s="14">
        <v>6821</v>
      </c>
      <c r="D75" s="14">
        <v>6.6000000000000003E-2</v>
      </c>
      <c r="E75" s="14">
        <v>19</v>
      </c>
      <c r="F75" s="14">
        <v>94.6</v>
      </c>
      <c r="G75" s="14">
        <v>7.03</v>
      </c>
      <c r="H75" s="14">
        <v>0</v>
      </c>
      <c r="I75" s="14">
        <v>4.4000000000000004</v>
      </c>
      <c r="J75" s="21">
        <f>IF('Cleaned Data'!C75 = "East", 1, 0)</f>
        <v>1</v>
      </c>
      <c r="K75" s="21">
        <f>IF('Cleaned Data'!C75 = "West", 1, 0)</f>
        <v>0</v>
      </c>
      <c r="L75" s="21">
        <f>IF('Cleaned Data'!C75 = "North", 1, 0)</f>
        <v>0</v>
      </c>
      <c r="M75" s="21">
        <f>IF('Cleaned Data'!D75 = "Airport", 1, 0)</f>
        <v>0</v>
      </c>
      <c r="N75" s="21">
        <f>IF('Cleaned Data'!D75 = "High Street", 1,0)</f>
        <v>0</v>
      </c>
      <c r="O75" s="21">
        <f>IF('Cleaned Data'!D75 = "Mall", 1,0)</f>
        <v>0</v>
      </c>
    </row>
    <row r="76" spans="1:15">
      <c r="A76" s="13">
        <v>788087.68</v>
      </c>
      <c r="B76" s="14">
        <v>70144.78</v>
      </c>
      <c r="C76" s="14">
        <v>6806</v>
      </c>
      <c r="D76" s="14">
        <v>0.17799999999999999</v>
      </c>
      <c r="E76" s="14">
        <v>20</v>
      </c>
      <c r="F76" s="14">
        <v>93.1</v>
      </c>
      <c r="G76" s="14">
        <v>0.28000000000000003</v>
      </c>
      <c r="H76" s="14">
        <v>1</v>
      </c>
      <c r="I76" s="14">
        <v>4.3</v>
      </c>
      <c r="J76" s="21">
        <f>IF('Cleaned Data'!C76 = "East", 1, 0)</f>
        <v>1</v>
      </c>
      <c r="K76" s="21">
        <f>IF('Cleaned Data'!C76 = "West", 1, 0)</f>
        <v>0</v>
      </c>
      <c r="L76" s="21">
        <f>IF('Cleaned Data'!C76 = "North", 1, 0)</f>
        <v>0</v>
      </c>
      <c r="M76" s="21">
        <f>IF('Cleaned Data'!D76 = "Airport", 1, 0)</f>
        <v>0</v>
      </c>
      <c r="N76" s="21">
        <f>IF('Cleaned Data'!D76 = "High Street", 1,0)</f>
        <v>0</v>
      </c>
      <c r="O76" s="21">
        <f>IF('Cleaned Data'!D76 = "Mall", 1,0)</f>
        <v>0</v>
      </c>
    </row>
    <row r="77" spans="1:15">
      <c r="A77" s="13">
        <v>680840.36</v>
      </c>
      <c r="B77" s="14">
        <v>58749.63</v>
      </c>
      <c r="C77" s="14">
        <v>8252</v>
      </c>
      <c r="D77" s="14">
        <v>0.20300000000000001</v>
      </c>
      <c r="E77" s="14">
        <v>20</v>
      </c>
      <c r="F77" s="14">
        <v>85.2</v>
      </c>
      <c r="G77" s="14">
        <v>3.61</v>
      </c>
      <c r="H77" s="14">
        <v>0</v>
      </c>
      <c r="I77" s="14">
        <v>4.5</v>
      </c>
      <c r="J77" s="21">
        <f>IF('Cleaned Data'!C77 = "East", 1, 0)</f>
        <v>1</v>
      </c>
      <c r="K77" s="21">
        <f>IF('Cleaned Data'!C77 = "West", 1, 0)</f>
        <v>0</v>
      </c>
      <c r="L77" s="21">
        <f>IF('Cleaned Data'!C77 = "North", 1, 0)</f>
        <v>0</v>
      </c>
      <c r="M77" s="21">
        <f>IF('Cleaned Data'!D77 = "Airport", 1, 0)</f>
        <v>0</v>
      </c>
      <c r="N77" s="21">
        <f>IF('Cleaned Data'!D77 = "High Street", 1,0)</f>
        <v>0</v>
      </c>
      <c r="O77" s="21">
        <f>IF('Cleaned Data'!D77 = "Mall", 1,0)</f>
        <v>0</v>
      </c>
    </row>
    <row r="78" spans="1:15">
      <c r="A78" s="13">
        <v>643657.47</v>
      </c>
      <c r="B78" s="14">
        <v>56973.18</v>
      </c>
      <c r="C78" s="14">
        <v>6662</v>
      </c>
      <c r="D78" s="14">
        <v>0.1</v>
      </c>
      <c r="E78" s="14">
        <v>15</v>
      </c>
      <c r="F78" s="14">
        <v>77.7</v>
      </c>
      <c r="G78" s="14">
        <v>7.52</v>
      </c>
      <c r="H78" s="14">
        <v>1</v>
      </c>
      <c r="I78" s="14">
        <v>3.2</v>
      </c>
      <c r="J78" s="21">
        <f>IF('Cleaned Data'!C78 = "East", 1, 0)</f>
        <v>0</v>
      </c>
      <c r="K78" s="21">
        <f>IF('Cleaned Data'!C78 = "West", 1, 0)</f>
        <v>0</v>
      </c>
      <c r="L78" s="21">
        <f>IF('Cleaned Data'!C78 = "North", 1, 0)</f>
        <v>0</v>
      </c>
      <c r="M78" s="21">
        <f>IF('Cleaned Data'!D78 = "Airport", 1, 0)</f>
        <v>0</v>
      </c>
      <c r="N78" s="21">
        <f>IF('Cleaned Data'!D78 = "High Street", 1,0)</f>
        <v>1</v>
      </c>
      <c r="O78" s="21">
        <f>IF('Cleaned Data'!D78 = "Mall", 1,0)</f>
        <v>0</v>
      </c>
    </row>
    <row r="79" spans="1:15">
      <c r="A79" s="13">
        <v>691112.6</v>
      </c>
      <c r="B79" s="14">
        <v>54872.82</v>
      </c>
      <c r="C79" s="14">
        <v>5962</v>
      </c>
      <c r="D79" s="14">
        <v>6.4000000000000001E-2</v>
      </c>
      <c r="E79" s="14">
        <v>12</v>
      </c>
      <c r="F79" s="14">
        <v>85.4</v>
      </c>
      <c r="G79" s="14">
        <v>2.58</v>
      </c>
      <c r="H79" s="14">
        <v>0</v>
      </c>
      <c r="I79" s="14">
        <v>2.9</v>
      </c>
      <c r="J79" s="21">
        <f>IF('Cleaned Data'!C79 = "East", 1, 0)</f>
        <v>0</v>
      </c>
      <c r="K79" s="21">
        <f>IF('Cleaned Data'!C79 = "West", 1, 0)</f>
        <v>0</v>
      </c>
      <c r="L79" s="21">
        <f>IF('Cleaned Data'!C79 = "North", 1, 0)</f>
        <v>0</v>
      </c>
      <c r="M79" s="21">
        <f>IF('Cleaned Data'!D79 = "Airport", 1, 0)</f>
        <v>0</v>
      </c>
      <c r="N79" s="21">
        <f>IF('Cleaned Data'!D79 = "High Street", 1,0)</f>
        <v>1</v>
      </c>
      <c r="O79" s="21">
        <f>IF('Cleaned Data'!D79 = "Mall", 1,0)</f>
        <v>0</v>
      </c>
    </row>
    <row r="80" spans="1:15">
      <c r="A80" s="13">
        <v>776922.17</v>
      </c>
      <c r="B80" s="14">
        <v>80562.81</v>
      </c>
      <c r="C80" s="14">
        <v>7470</v>
      </c>
      <c r="D80" s="14">
        <v>0.17199999999999999</v>
      </c>
      <c r="E80" s="14">
        <v>16</v>
      </c>
      <c r="F80" s="14">
        <v>83.5</v>
      </c>
      <c r="G80" s="14">
        <v>2.29</v>
      </c>
      <c r="H80" s="14">
        <v>0</v>
      </c>
      <c r="I80" s="14">
        <v>3.3</v>
      </c>
      <c r="J80" s="21">
        <f>IF('Cleaned Data'!C80 = "East", 1, 0)</f>
        <v>0</v>
      </c>
      <c r="K80" s="21">
        <f>IF('Cleaned Data'!C80 = "West", 1, 0)</f>
        <v>0</v>
      </c>
      <c r="L80" s="21">
        <f>IF('Cleaned Data'!C80 = "North", 1, 0)</f>
        <v>0</v>
      </c>
      <c r="M80" s="21">
        <f>IF('Cleaned Data'!D80 = "Airport", 1, 0)</f>
        <v>0</v>
      </c>
      <c r="N80" s="21">
        <f>IF('Cleaned Data'!D80 = "High Street", 1,0)</f>
        <v>1</v>
      </c>
      <c r="O80" s="21">
        <f>IF('Cleaned Data'!D80 = "Mall", 1,0)</f>
        <v>0</v>
      </c>
    </row>
    <row r="81" spans="1:15">
      <c r="A81" s="13">
        <v>636561.34</v>
      </c>
      <c r="B81" s="14">
        <v>77999.899999999994</v>
      </c>
      <c r="C81" s="14">
        <v>5974</v>
      </c>
      <c r="D81" s="14">
        <v>0.252</v>
      </c>
      <c r="E81" s="14">
        <v>14</v>
      </c>
      <c r="F81" s="14">
        <v>81.3</v>
      </c>
      <c r="G81" s="14">
        <v>2.39</v>
      </c>
      <c r="H81" s="14">
        <v>0</v>
      </c>
      <c r="I81" s="14">
        <v>3.2</v>
      </c>
      <c r="J81" s="21">
        <f>IF('Cleaned Data'!C81 = "East", 1, 0)</f>
        <v>0</v>
      </c>
      <c r="K81" s="21">
        <f>IF('Cleaned Data'!C81 = "West", 1, 0)</f>
        <v>0</v>
      </c>
      <c r="L81" s="21">
        <f>IF('Cleaned Data'!C81 = "North", 1, 0)</f>
        <v>0</v>
      </c>
      <c r="M81" s="21">
        <f>IF('Cleaned Data'!D81 = "Airport", 1, 0)</f>
        <v>0</v>
      </c>
      <c r="N81" s="21">
        <f>IF('Cleaned Data'!D81 = "High Street", 1,0)</f>
        <v>1</v>
      </c>
      <c r="O81" s="21">
        <f>IF('Cleaned Data'!D81 = "Mall", 1,0)</f>
        <v>0</v>
      </c>
    </row>
    <row r="82" spans="1:15">
      <c r="A82" s="13">
        <v>621369.57999999996</v>
      </c>
      <c r="B82" s="14">
        <v>60881.01</v>
      </c>
      <c r="C82" s="14">
        <v>5410</v>
      </c>
      <c r="D82" s="14">
        <v>0.17899999999999999</v>
      </c>
      <c r="E82" s="14">
        <v>15</v>
      </c>
      <c r="F82" s="14">
        <v>83.9</v>
      </c>
      <c r="G82" s="14">
        <v>5.24</v>
      </c>
      <c r="H82" s="14">
        <v>0</v>
      </c>
      <c r="I82" s="14">
        <v>4.5999999999999996</v>
      </c>
      <c r="J82" s="21">
        <f>IF('Cleaned Data'!C82 = "East", 1, 0)</f>
        <v>0</v>
      </c>
      <c r="K82" s="21">
        <f>IF('Cleaned Data'!C82 = "West", 1, 0)</f>
        <v>1</v>
      </c>
      <c r="L82" s="21">
        <f>IF('Cleaned Data'!C82 = "North", 1, 0)</f>
        <v>0</v>
      </c>
      <c r="M82" s="21">
        <f>IF('Cleaned Data'!D82 = "Airport", 1, 0)</f>
        <v>0</v>
      </c>
      <c r="N82" s="21">
        <f>IF('Cleaned Data'!D82 = "High Street", 1,0)</f>
        <v>0</v>
      </c>
      <c r="O82" s="21">
        <f>IF('Cleaned Data'!D82 = "Mall", 1,0)</f>
        <v>1</v>
      </c>
    </row>
    <row r="83" spans="1:15">
      <c r="A83" s="13">
        <v>682208.01</v>
      </c>
      <c r="B83" s="14">
        <v>60628.38</v>
      </c>
      <c r="C83" s="14">
        <v>4451</v>
      </c>
      <c r="D83" s="14">
        <v>9.5000000000000001E-2</v>
      </c>
      <c r="E83" s="14">
        <v>10</v>
      </c>
      <c r="F83" s="14">
        <v>89.6</v>
      </c>
      <c r="G83" s="14">
        <v>3.17</v>
      </c>
      <c r="H83" s="14">
        <v>0</v>
      </c>
      <c r="I83" s="14">
        <v>4.5999999999999996</v>
      </c>
      <c r="J83" s="21">
        <f>IF('Cleaned Data'!C83 = "East", 1, 0)</f>
        <v>0</v>
      </c>
      <c r="K83" s="21">
        <f>IF('Cleaned Data'!C83 = "West", 1, 0)</f>
        <v>1</v>
      </c>
      <c r="L83" s="21">
        <f>IF('Cleaned Data'!C83 = "North", 1, 0)</f>
        <v>0</v>
      </c>
      <c r="M83" s="21">
        <f>IF('Cleaned Data'!D83 = "Airport", 1, 0)</f>
        <v>0</v>
      </c>
      <c r="N83" s="21">
        <f>IF('Cleaned Data'!D83 = "High Street", 1,0)</f>
        <v>0</v>
      </c>
      <c r="O83" s="21">
        <f>IF('Cleaned Data'!D83 = "Mall", 1,0)</f>
        <v>1</v>
      </c>
    </row>
    <row r="84" spans="1:15">
      <c r="A84" s="13">
        <v>727241.86</v>
      </c>
      <c r="B84" s="14">
        <v>72731.14</v>
      </c>
      <c r="C84" s="14">
        <v>4644</v>
      </c>
      <c r="D84" s="14">
        <v>8.4000000000000005E-2</v>
      </c>
      <c r="E84" s="14">
        <v>15</v>
      </c>
      <c r="F84" s="14">
        <v>87.1</v>
      </c>
      <c r="G84" s="14">
        <v>2.66</v>
      </c>
      <c r="H84" s="14">
        <v>0</v>
      </c>
      <c r="I84" s="14">
        <v>4.5999999999999996</v>
      </c>
      <c r="J84" s="21">
        <f>IF('Cleaned Data'!C84 = "East", 1, 0)</f>
        <v>0</v>
      </c>
      <c r="K84" s="21">
        <f>IF('Cleaned Data'!C84 = "West", 1, 0)</f>
        <v>1</v>
      </c>
      <c r="L84" s="21">
        <f>IF('Cleaned Data'!C84 = "North", 1, 0)</f>
        <v>0</v>
      </c>
      <c r="M84" s="21">
        <f>IF('Cleaned Data'!D84 = "Airport", 1, 0)</f>
        <v>0</v>
      </c>
      <c r="N84" s="21">
        <f>IF('Cleaned Data'!D84 = "High Street", 1,0)</f>
        <v>0</v>
      </c>
      <c r="O84" s="21">
        <f>IF('Cleaned Data'!D84 = "Mall", 1,0)</f>
        <v>1</v>
      </c>
    </row>
    <row r="85" spans="1:15">
      <c r="A85" s="13">
        <v>569100.78</v>
      </c>
      <c r="B85" s="14">
        <v>36475.71</v>
      </c>
      <c r="C85" s="14">
        <v>3559</v>
      </c>
      <c r="D85" s="14">
        <v>0.03</v>
      </c>
      <c r="E85" s="14">
        <v>8</v>
      </c>
      <c r="F85" s="14">
        <v>83.6</v>
      </c>
      <c r="G85" s="14">
        <v>1.41</v>
      </c>
      <c r="H85" s="14">
        <v>0</v>
      </c>
      <c r="I85" s="14">
        <v>4.2</v>
      </c>
      <c r="J85" s="21">
        <f>IF('Cleaned Data'!C85 = "East", 1, 0)</f>
        <v>0</v>
      </c>
      <c r="K85" s="21">
        <f>IF('Cleaned Data'!C85 = "West", 1, 0)</f>
        <v>1</v>
      </c>
      <c r="L85" s="21">
        <f>IF('Cleaned Data'!C85 = "North", 1, 0)</f>
        <v>0</v>
      </c>
      <c r="M85" s="21">
        <f>IF('Cleaned Data'!D85 = "Airport", 1, 0)</f>
        <v>0</v>
      </c>
      <c r="N85" s="21">
        <f>IF('Cleaned Data'!D85 = "High Street", 1,0)</f>
        <v>0</v>
      </c>
      <c r="O85" s="21">
        <f>IF('Cleaned Data'!D85 = "Mall", 1,0)</f>
        <v>1</v>
      </c>
    </row>
    <row r="86" spans="1:15">
      <c r="A86" s="13">
        <v>574436.29</v>
      </c>
      <c r="B86" s="14">
        <v>55388.11</v>
      </c>
      <c r="C86" s="14">
        <v>3091</v>
      </c>
      <c r="D86" s="14">
        <v>0.108</v>
      </c>
      <c r="E86" s="14">
        <v>7</v>
      </c>
      <c r="F86" s="14">
        <v>85.4</v>
      </c>
      <c r="G86" s="14">
        <v>7.34</v>
      </c>
      <c r="H86" s="14">
        <v>0</v>
      </c>
      <c r="I86" s="14">
        <v>4.9000000000000004</v>
      </c>
      <c r="J86" s="21">
        <f>IF('Cleaned Data'!C86 = "East", 1, 0)</f>
        <v>0</v>
      </c>
      <c r="K86" s="21">
        <f>IF('Cleaned Data'!C86 = "West", 1, 0)</f>
        <v>1</v>
      </c>
      <c r="L86" s="21">
        <f>IF('Cleaned Data'!C86 = "North", 1, 0)</f>
        <v>0</v>
      </c>
      <c r="M86" s="21">
        <f>IF('Cleaned Data'!D86 = "Airport", 1, 0)</f>
        <v>0</v>
      </c>
      <c r="N86" s="21">
        <f>IF('Cleaned Data'!D86 = "High Street", 1,0)</f>
        <v>1</v>
      </c>
      <c r="O86" s="21">
        <f>IF('Cleaned Data'!D86 = "Mall", 1,0)</f>
        <v>0</v>
      </c>
    </row>
    <row r="87" spans="1:15">
      <c r="A87" s="13">
        <v>611766.72</v>
      </c>
      <c r="B87" s="14">
        <v>88443.77</v>
      </c>
      <c r="C87" s="14">
        <v>4004</v>
      </c>
      <c r="D87" s="14">
        <v>0.20599999999999999</v>
      </c>
      <c r="E87" s="14">
        <v>11</v>
      </c>
      <c r="F87" s="14">
        <v>91.9</v>
      </c>
      <c r="G87" s="14">
        <v>5.95</v>
      </c>
      <c r="H87" s="14">
        <v>0</v>
      </c>
      <c r="I87" s="14">
        <v>3.8</v>
      </c>
      <c r="J87" s="21">
        <f>IF('Cleaned Data'!C87 = "East", 1, 0)</f>
        <v>0</v>
      </c>
      <c r="K87" s="21">
        <f>IF('Cleaned Data'!C87 = "West", 1, 0)</f>
        <v>1</v>
      </c>
      <c r="L87" s="21">
        <f>IF('Cleaned Data'!C87 = "North", 1, 0)</f>
        <v>0</v>
      </c>
      <c r="M87" s="21">
        <f>IF('Cleaned Data'!D87 = "Airport", 1, 0)</f>
        <v>0</v>
      </c>
      <c r="N87" s="21">
        <f>IF('Cleaned Data'!D87 = "High Street", 1,0)</f>
        <v>1</v>
      </c>
      <c r="O87" s="21">
        <f>IF('Cleaned Data'!D87 = "Mall", 1,0)</f>
        <v>0</v>
      </c>
    </row>
    <row r="88" spans="1:15">
      <c r="A88" s="13">
        <v>614596.31999999995</v>
      </c>
      <c r="B88" s="14">
        <v>78231.91</v>
      </c>
      <c r="C88" s="14">
        <v>3788</v>
      </c>
      <c r="D88" s="14">
        <v>5.8999999999999997E-2</v>
      </c>
      <c r="E88" s="14">
        <v>11</v>
      </c>
      <c r="F88" s="14">
        <v>88.5</v>
      </c>
      <c r="G88" s="14">
        <v>15.51</v>
      </c>
      <c r="H88" s="14">
        <v>0</v>
      </c>
      <c r="I88" s="14">
        <v>4.3</v>
      </c>
      <c r="J88" s="21">
        <f>IF('Cleaned Data'!C88 = "East", 1, 0)</f>
        <v>0</v>
      </c>
      <c r="K88" s="21">
        <f>IF('Cleaned Data'!C88 = "West", 1, 0)</f>
        <v>1</v>
      </c>
      <c r="L88" s="21">
        <f>IF('Cleaned Data'!C88 = "North", 1, 0)</f>
        <v>0</v>
      </c>
      <c r="M88" s="21">
        <f>IF('Cleaned Data'!D88 = "Airport", 1, 0)</f>
        <v>0</v>
      </c>
      <c r="N88" s="21">
        <f>IF('Cleaned Data'!D88 = "High Street", 1,0)</f>
        <v>1</v>
      </c>
      <c r="O88" s="21">
        <f>IF('Cleaned Data'!D88 = "Mall", 1,0)</f>
        <v>0</v>
      </c>
    </row>
    <row r="89" spans="1:15">
      <c r="A89" s="13">
        <v>450711.92</v>
      </c>
      <c r="B89" s="14">
        <v>18996.32</v>
      </c>
      <c r="C89" s="14">
        <v>1260</v>
      </c>
      <c r="D89" s="14">
        <v>0.14499999999999999</v>
      </c>
      <c r="E89" s="14">
        <v>9</v>
      </c>
      <c r="F89" s="14">
        <v>86.4</v>
      </c>
      <c r="G89" s="14">
        <v>4.3099999999999996</v>
      </c>
      <c r="H89" s="14">
        <v>0</v>
      </c>
      <c r="I89" s="14">
        <v>4.5999999999999996</v>
      </c>
      <c r="J89" s="21">
        <f>IF('Cleaned Data'!C89 = "East", 1, 0)</f>
        <v>0</v>
      </c>
      <c r="K89" s="21">
        <f>IF('Cleaned Data'!C89 = "West", 1, 0)</f>
        <v>1</v>
      </c>
      <c r="L89" s="21">
        <f>IF('Cleaned Data'!C89 = "North", 1, 0)</f>
        <v>0</v>
      </c>
      <c r="M89" s="21">
        <f>IF('Cleaned Data'!D89 = "Airport", 1, 0)</f>
        <v>0</v>
      </c>
      <c r="N89" s="21">
        <f>IF('Cleaned Data'!D89 = "High Street", 1,0)</f>
        <v>1</v>
      </c>
      <c r="O89" s="21">
        <f>IF('Cleaned Data'!D89 = "Mall", 1,0)</f>
        <v>0</v>
      </c>
    </row>
    <row r="90" spans="1:15">
      <c r="A90" s="13">
        <v>711213.46</v>
      </c>
      <c r="B90" s="14">
        <v>50517.94</v>
      </c>
      <c r="C90" s="14">
        <v>7024</v>
      </c>
      <c r="D90" s="14">
        <v>2.9000000000000001E-2</v>
      </c>
      <c r="E90" s="14">
        <v>18</v>
      </c>
      <c r="F90" s="14">
        <v>79.2</v>
      </c>
      <c r="G90" s="14">
        <v>6.61</v>
      </c>
      <c r="H90" s="14">
        <v>1</v>
      </c>
      <c r="I90" s="14">
        <v>4.0999999999999996</v>
      </c>
      <c r="J90" s="21">
        <f>IF('Cleaned Data'!C90 = "East", 1, 0)</f>
        <v>0</v>
      </c>
      <c r="K90" s="21">
        <f>IF('Cleaned Data'!C90 = "West", 1, 0)</f>
        <v>0</v>
      </c>
      <c r="L90" s="21">
        <f>IF('Cleaned Data'!C90 = "North", 1, 0)</f>
        <v>0</v>
      </c>
      <c r="M90" s="21">
        <f>IF('Cleaned Data'!D90 = "Airport", 1, 0)</f>
        <v>0</v>
      </c>
      <c r="N90" s="21">
        <f>IF('Cleaned Data'!D90 = "High Street", 1,0)</f>
        <v>0</v>
      </c>
      <c r="O90" s="21">
        <f>IF('Cleaned Data'!D90 = "Mall", 1,0)</f>
        <v>1</v>
      </c>
    </row>
    <row r="91" spans="1:15">
      <c r="A91" s="13">
        <v>627171.9</v>
      </c>
      <c r="B91" s="14">
        <v>141540.29</v>
      </c>
      <c r="C91" s="14">
        <v>5400</v>
      </c>
      <c r="D91" s="14">
        <v>1.2999999999999999E-2</v>
      </c>
      <c r="E91" s="14">
        <v>12</v>
      </c>
      <c r="F91" s="14">
        <v>87</v>
      </c>
      <c r="G91" s="14">
        <v>4.26</v>
      </c>
      <c r="H91" s="14">
        <v>0</v>
      </c>
      <c r="I91" s="14">
        <v>4.5</v>
      </c>
      <c r="J91" s="21">
        <f>IF('Cleaned Data'!C91 = "East", 1, 0)</f>
        <v>0</v>
      </c>
      <c r="K91" s="21">
        <f>IF('Cleaned Data'!C91 = "West", 1, 0)</f>
        <v>0</v>
      </c>
      <c r="L91" s="21">
        <f>IF('Cleaned Data'!C91 = "North", 1, 0)</f>
        <v>0</v>
      </c>
      <c r="M91" s="21">
        <f>IF('Cleaned Data'!D91 = "Airport", 1, 0)</f>
        <v>0</v>
      </c>
      <c r="N91" s="21">
        <f>IF('Cleaned Data'!D91 = "High Street", 1,0)</f>
        <v>0</v>
      </c>
      <c r="O91" s="21">
        <f>IF('Cleaned Data'!D91 = "Mall", 1,0)</f>
        <v>1</v>
      </c>
    </row>
    <row r="92" spans="1:15">
      <c r="A92" s="13">
        <v>739852.58</v>
      </c>
      <c r="B92" s="14">
        <v>82116.19</v>
      </c>
      <c r="C92" s="14">
        <v>5988</v>
      </c>
      <c r="D92" s="14">
        <v>0.04</v>
      </c>
      <c r="E92" s="14">
        <v>17</v>
      </c>
      <c r="F92" s="14">
        <v>91.8</v>
      </c>
      <c r="G92" s="14">
        <v>5.75</v>
      </c>
      <c r="H92" s="14">
        <v>0</v>
      </c>
      <c r="I92" s="14">
        <v>4.7</v>
      </c>
      <c r="J92" s="21">
        <f>IF('Cleaned Data'!C92 = "East", 1, 0)</f>
        <v>0</v>
      </c>
      <c r="K92" s="21">
        <f>IF('Cleaned Data'!C92 = "West", 1, 0)</f>
        <v>0</v>
      </c>
      <c r="L92" s="21">
        <f>IF('Cleaned Data'!C92 = "North", 1, 0)</f>
        <v>0</v>
      </c>
      <c r="M92" s="21">
        <f>IF('Cleaned Data'!D92 = "Airport", 1, 0)</f>
        <v>0</v>
      </c>
      <c r="N92" s="21">
        <f>IF('Cleaned Data'!D92 = "High Street", 1,0)</f>
        <v>0</v>
      </c>
      <c r="O92" s="21">
        <f>IF('Cleaned Data'!D92 = "Mall", 1,0)</f>
        <v>1</v>
      </c>
    </row>
    <row r="93" spans="1:15">
      <c r="A93" s="13">
        <v>586307.22</v>
      </c>
      <c r="B93" s="14">
        <v>31207.51</v>
      </c>
      <c r="C93" s="14">
        <v>3701</v>
      </c>
      <c r="D93" s="14">
        <v>4.2999999999999997E-2</v>
      </c>
      <c r="E93" s="14">
        <v>11</v>
      </c>
      <c r="F93" s="14">
        <v>84.7</v>
      </c>
      <c r="G93" s="14">
        <v>0.33</v>
      </c>
      <c r="H93" s="14">
        <v>0</v>
      </c>
      <c r="I93" s="14">
        <v>4.3</v>
      </c>
      <c r="J93" s="21">
        <f>IF('Cleaned Data'!C93 = "East", 1, 0)</f>
        <v>0</v>
      </c>
      <c r="K93" s="21">
        <f>IF('Cleaned Data'!C93 = "West", 1, 0)</f>
        <v>0</v>
      </c>
      <c r="L93" s="21">
        <f>IF('Cleaned Data'!C93 = "North", 1, 0)</f>
        <v>0</v>
      </c>
      <c r="M93" s="21">
        <f>IF('Cleaned Data'!D93 = "Airport", 1, 0)</f>
        <v>0</v>
      </c>
      <c r="N93" s="21">
        <f>IF('Cleaned Data'!D93 = "High Street", 1,0)</f>
        <v>0</v>
      </c>
      <c r="O93" s="21">
        <f>IF('Cleaned Data'!D93 = "Mall", 1,0)</f>
        <v>1</v>
      </c>
    </row>
    <row r="94" spans="1:15">
      <c r="A94" s="13">
        <v>585937.48</v>
      </c>
      <c r="B94" s="14">
        <v>38966.589999999997</v>
      </c>
      <c r="C94" s="14">
        <v>4509</v>
      </c>
      <c r="D94" s="14">
        <v>0.19400000000000001</v>
      </c>
      <c r="E94" s="14">
        <v>14</v>
      </c>
      <c r="F94" s="14">
        <v>91.1</v>
      </c>
      <c r="G94" s="14">
        <v>2.92</v>
      </c>
      <c r="H94" s="14">
        <v>0</v>
      </c>
      <c r="I94" s="14">
        <v>4.5999999999999996</v>
      </c>
      <c r="J94" s="21">
        <f>IF('Cleaned Data'!C94 = "East", 1, 0)</f>
        <v>0</v>
      </c>
      <c r="K94" s="21">
        <f>IF('Cleaned Data'!C94 = "West", 1, 0)</f>
        <v>1</v>
      </c>
      <c r="L94" s="21">
        <f>IF('Cleaned Data'!C94 = "North", 1, 0)</f>
        <v>0</v>
      </c>
      <c r="M94" s="21">
        <f>IF('Cleaned Data'!D94 = "Airport", 1, 0)</f>
        <v>0</v>
      </c>
      <c r="N94" s="21">
        <f>IF('Cleaned Data'!D94 = "High Street", 1,0)</f>
        <v>0</v>
      </c>
      <c r="O94" s="21">
        <f>IF('Cleaned Data'!D94 = "Mall", 1,0)</f>
        <v>0</v>
      </c>
    </row>
    <row r="95" spans="1:15">
      <c r="A95" s="13">
        <v>753473.55</v>
      </c>
      <c r="B95" s="14">
        <v>67439.3</v>
      </c>
      <c r="C95" s="14">
        <v>6477</v>
      </c>
      <c r="D95" s="14">
        <v>0</v>
      </c>
      <c r="E95" s="14">
        <v>16</v>
      </c>
      <c r="F95" s="14">
        <v>90.9</v>
      </c>
      <c r="G95" s="14">
        <v>1.64</v>
      </c>
      <c r="H95" s="14">
        <v>0</v>
      </c>
      <c r="I95" s="14">
        <v>4.5</v>
      </c>
      <c r="J95" s="21">
        <f>IF('Cleaned Data'!C95 = "East", 1, 0)</f>
        <v>0</v>
      </c>
      <c r="K95" s="21">
        <f>IF('Cleaned Data'!C95 = "West", 1, 0)</f>
        <v>1</v>
      </c>
      <c r="L95" s="21">
        <f>IF('Cleaned Data'!C95 = "North", 1, 0)</f>
        <v>0</v>
      </c>
      <c r="M95" s="21">
        <f>IF('Cleaned Data'!D95 = "Airport", 1, 0)</f>
        <v>0</v>
      </c>
      <c r="N95" s="21">
        <f>IF('Cleaned Data'!D95 = "High Street", 1,0)</f>
        <v>0</v>
      </c>
      <c r="O95" s="21">
        <f>IF('Cleaned Data'!D95 = "Mall", 1,0)</f>
        <v>0</v>
      </c>
    </row>
    <row r="96" spans="1:15">
      <c r="A96" s="13">
        <v>838250.32</v>
      </c>
      <c r="B96" s="14">
        <v>86421.88</v>
      </c>
      <c r="C96" s="14">
        <v>7970</v>
      </c>
      <c r="D96" s="14">
        <v>7.2999999999999995E-2</v>
      </c>
      <c r="E96" s="14">
        <v>17</v>
      </c>
      <c r="F96" s="14">
        <v>91.3</v>
      </c>
      <c r="G96" s="14">
        <v>0.8</v>
      </c>
      <c r="H96" s="14">
        <v>0</v>
      </c>
      <c r="I96" s="14">
        <v>5</v>
      </c>
      <c r="J96" s="21">
        <f>IF('Cleaned Data'!C96 = "East", 1, 0)</f>
        <v>0</v>
      </c>
      <c r="K96" s="21">
        <f>IF('Cleaned Data'!C96 = "West", 1, 0)</f>
        <v>1</v>
      </c>
      <c r="L96" s="21">
        <f>IF('Cleaned Data'!C96 = "North", 1, 0)</f>
        <v>0</v>
      </c>
      <c r="M96" s="21">
        <f>IF('Cleaned Data'!D96 = "Airport", 1, 0)</f>
        <v>0</v>
      </c>
      <c r="N96" s="21">
        <f>IF('Cleaned Data'!D96 = "High Street", 1,0)</f>
        <v>0</v>
      </c>
      <c r="O96" s="21">
        <f>IF('Cleaned Data'!D96 = "Mall", 1,0)</f>
        <v>0</v>
      </c>
    </row>
    <row r="97" spans="1:15">
      <c r="A97" s="13">
        <v>607898.12</v>
      </c>
      <c r="B97" s="14">
        <v>9534.65</v>
      </c>
      <c r="C97" s="14">
        <v>6057</v>
      </c>
      <c r="D97" s="14">
        <v>7.3999999999999996E-2</v>
      </c>
      <c r="E97" s="14">
        <v>15</v>
      </c>
      <c r="F97" s="14">
        <v>94.1</v>
      </c>
      <c r="G97" s="14">
        <v>5.79</v>
      </c>
      <c r="H97" s="14">
        <v>0</v>
      </c>
      <c r="I97" s="14">
        <v>4.5</v>
      </c>
      <c r="J97" s="21">
        <f>IF('Cleaned Data'!C97 = "East", 1, 0)</f>
        <v>0</v>
      </c>
      <c r="K97" s="21">
        <f>IF('Cleaned Data'!C97 = "West", 1, 0)</f>
        <v>1</v>
      </c>
      <c r="L97" s="21">
        <f>IF('Cleaned Data'!C97 = "North", 1, 0)</f>
        <v>0</v>
      </c>
      <c r="M97" s="21">
        <f>IF('Cleaned Data'!D97 = "Airport", 1, 0)</f>
        <v>0</v>
      </c>
      <c r="N97" s="21">
        <f>IF('Cleaned Data'!D97 = "High Street", 1,0)</f>
        <v>0</v>
      </c>
      <c r="O97" s="21">
        <f>IF('Cleaned Data'!D97 = "Mall", 1,0)</f>
        <v>0</v>
      </c>
    </row>
    <row r="98" spans="1:15">
      <c r="A98" s="13">
        <v>691113.62</v>
      </c>
      <c r="B98" s="14">
        <v>61132.07</v>
      </c>
      <c r="C98" s="14">
        <v>6394</v>
      </c>
      <c r="D98" s="14">
        <v>0.16300000000000001</v>
      </c>
      <c r="E98" s="14">
        <v>19</v>
      </c>
      <c r="F98" s="14">
        <v>91</v>
      </c>
      <c r="G98" s="14">
        <v>19.600000000000001</v>
      </c>
      <c r="H98" s="14">
        <v>0</v>
      </c>
      <c r="I98" s="14">
        <v>4.4000000000000004</v>
      </c>
      <c r="J98" s="21">
        <f>IF('Cleaned Data'!C98 = "East", 1, 0)</f>
        <v>0</v>
      </c>
      <c r="K98" s="21">
        <f>IF('Cleaned Data'!C98 = "West", 1, 0)</f>
        <v>1</v>
      </c>
      <c r="L98" s="21">
        <f>IF('Cleaned Data'!C98 = "North", 1, 0)</f>
        <v>0</v>
      </c>
      <c r="M98" s="21">
        <f>IF('Cleaned Data'!D98 = "Airport", 1, 0)</f>
        <v>0</v>
      </c>
      <c r="N98" s="21">
        <f>IF('Cleaned Data'!D98 = "High Street", 1,0)</f>
        <v>0</v>
      </c>
      <c r="O98" s="21">
        <f>IF('Cleaned Data'!D98 = "Mall", 1,0)</f>
        <v>1</v>
      </c>
    </row>
    <row r="99" spans="1:15">
      <c r="A99" s="13">
        <v>735509.4</v>
      </c>
      <c r="B99" s="14">
        <v>78839.39</v>
      </c>
      <c r="C99" s="14">
        <v>5150</v>
      </c>
      <c r="D99" s="14">
        <v>0.17100000000000001</v>
      </c>
      <c r="E99" s="14">
        <v>13</v>
      </c>
      <c r="F99" s="14">
        <v>85.8</v>
      </c>
      <c r="G99" s="14">
        <v>7.57</v>
      </c>
      <c r="H99" s="14">
        <v>0</v>
      </c>
      <c r="I99" s="14">
        <v>4.3</v>
      </c>
      <c r="J99" s="21">
        <f>IF('Cleaned Data'!C99 = "East", 1, 0)</f>
        <v>0</v>
      </c>
      <c r="K99" s="21">
        <f>IF('Cleaned Data'!C99 = "West", 1, 0)</f>
        <v>1</v>
      </c>
      <c r="L99" s="21">
        <f>IF('Cleaned Data'!C99 = "North", 1, 0)</f>
        <v>0</v>
      </c>
      <c r="M99" s="21">
        <f>IF('Cleaned Data'!D99 = "Airport", 1, 0)</f>
        <v>0</v>
      </c>
      <c r="N99" s="21">
        <f>IF('Cleaned Data'!D99 = "High Street", 1,0)</f>
        <v>0</v>
      </c>
      <c r="O99" s="21">
        <f>IF('Cleaned Data'!D99 = "Mall", 1,0)</f>
        <v>1</v>
      </c>
    </row>
    <row r="100" spans="1:15">
      <c r="A100" s="13">
        <v>605775.32999999996</v>
      </c>
      <c r="B100" s="14">
        <v>38752.800000000003</v>
      </c>
      <c r="C100" s="14">
        <v>4712</v>
      </c>
      <c r="D100" s="14">
        <v>7.4999999999999997E-2</v>
      </c>
      <c r="E100" s="14">
        <v>15</v>
      </c>
      <c r="F100" s="14">
        <v>89.7</v>
      </c>
      <c r="G100" s="14">
        <v>3.3650000000000002</v>
      </c>
      <c r="H100" s="14">
        <v>0</v>
      </c>
      <c r="I100" s="14">
        <v>4.3</v>
      </c>
      <c r="J100" s="21">
        <f>IF('Cleaned Data'!C100 = "East", 1, 0)</f>
        <v>0</v>
      </c>
      <c r="K100" s="21">
        <f>IF('Cleaned Data'!C100 = "West", 1, 0)</f>
        <v>1</v>
      </c>
      <c r="L100" s="21">
        <f>IF('Cleaned Data'!C100 = "North", 1, 0)</f>
        <v>0</v>
      </c>
      <c r="M100" s="21">
        <f>IF('Cleaned Data'!D100 = "Airport", 1, 0)</f>
        <v>0</v>
      </c>
      <c r="N100" s="21">
        <f>IF('Cleaned Data'!D100 = "High Street", 1,0)</f>
        <v>0</v>
      </c>
      <c r="O100" s="21">
        <f>IF('Cleaned Data'!D100 = "Mall", 1,0)</f>
        <v>1</v>
      </c>
    </row>
    <row r="101" spans="1:15">
      <c r="A101" s="13">
        <v>675177.68</v>
      </c>
      <c r="B101" s="14">
        <v>55101.1</v>
      </c>
      <c r="C101" s="14">
        <v>5281</v>
      </c>
      <c r="D101" s="14">
        <v>0.189</v>
      </c>
      <c r="E101" s="14">
        <v>11</v>
      </c>
      <c r="F101" s="14">
        <v>91</v>
      </c>
      <c r="G101" s="14">
        <v>2.7</v>
      </c>
      <c r="H101" s="14">
        <v>0</v>
      </c>
      <c r="I101" s="14">
        <v>4.4000000000000004</v>
      </c>
      <c r="J101" s="21">
        <f>IF('Cleaned Data'!C101 = "East", 1, 0)</f>
        <v>0</v>
      </c>
      <c r="K101" s="21">
        <f>IF('Cleaned Data'!C101 = "West", 1, 0)</f>
        <v>1</v>
      </c>
      <c r="L101" s="21">
        <f>IF('Cleaned Data'!C101 = "North", 1, 0)</f>
        <v>0</v>
      </c>
      <c r="M101" s="21">
        <f>IF('Cleaned Data'!D101 = "Airport", 1, 0)</f>
        <v>0</v>
      </c>
      <c r="N101" s="21">
        <f>IF('Cleaned Data'!D101 = "High Street", 1,0)</f>
        <v>0</v>
      </c>
      <c r="O101" s="21">
        <f>IF('Cleaned Data'!D101 = "Mall", 1,0)</f>
        <v>1</v>
      </c>
    </row>
    <row r="102" spans="1:15">
      <c r="A102" s="13">
        <v>635181.35</v>
      </c>
      <c r="B102" s="14">
        <v>53084.76</v>
      </c>
      <c r="C102" s="14">
        <v>3642</v>
      </c>
      <c r="D102" s="14">
        <v>0.15</v>
      </c>
      <c r="E102" s="14">
        <v>12</v>
      </c>
      <c r="F102" s="14">
        <v>91.4</v>
      </c>
      <c r="G102" s="14">
        <v>0.2</v>
      </c>
      <c r="H102" s="14">
        <v>0</v>
      </c>
      <c r="I102" s="14">
        <v>4.4000000000000004</v>
      </c>
      <c r="J102" s="21">
        <f>IF('Cleaned Data'!C102 = "East", 1, 0)</f>
        <v>1</v>
      </c>
      <c r="K102" s="21">
        <f>IF('Cleaned Data'!C102 = "West", 1, 0)</f>
        <v>0</v>
      </c>
      <c r="L102" s="21">
        <f>IF('Cleaned Data'!C102 = "North", 1, 0)</f>
        <v>0</v>
      </c>
      <c r="M102" s="21">
        <f>IF('Cleaned Data'!D102 = "Airport", 1, 0)</f>
        <v>0</v>
      </c>
      <c r="N102" s="21">
        <f>IF('Cleaned Data'!D102 = "High Street", 1,0)</f>
        <v>0</v>
      </c>
      <c r="O102" s="21">
        <f>IF('Cleaned Data'!D102 = "Mall", 1,0)</f>
        <v>1</v>
      </c>
    </row>
    <row r="103" spans="1:15">
      <c r="A103" s="13">
        <v>586626.93999999994</v>
      </c>
      <c r="B103" s="14">
        <v>63101.59</v>
      </c>
      <c r="C103" s="14">
        <v>4373</v>
      </c>
      <c r="D103" s="14">
        <v>0.17299999999999999</v>
      </c>
      <c r="E103" s="14">
        <v>14</v>
      </c>
      <c r="F103" s="14">
        <v>90.4</v>
      </c>
      <c r="G103" s="14">
        <v>7.87</v>
      </c>
      <c r="H103" s="14">
        <v>0</v>
      </c>
      <c r="I103" s="14">
        <v>4.7</v>
      </c>
      <c r="J103" s="21">
        <f>IF('Cleaned Data'!C103 = "East", 1, 0)</f>
        <v>1</v>
      </c>
      <c r="K103" s="21">
        <f>IF('Cleaned Data'!C103 = "West", 1, 0)</f>
        <v>0</v>
      </c>
      <c r="L103" s="21">
        <f>IF('Cleaned Data'!C103 = "North", 1, 0)</f>
        <v>0</v>
      </c>
      <c r="M103" s="21">
        <f>IF('Cleaned Data'!D103 = "Airport", 1, 0)</f>
        <v>0</v>
      </c>
      <c r="N103" s="21">
        <f>IF('Cleaned Data'!D103 = "High Street", 1,0)</f>
        <v>0</v>
      </c>
      <c r="O103" s="21">
        <f>IF('Cleaned Data'!D103 = "Mall", 1,0)</f>
        <v>1</v>
      </c>
    </row>
    <row r="104" spans="1:15">
      <c r="A104" s="13">
        <v>740102.64</v>
      </c>
      <c r="B104" s="14">
        <v>90084.4</v>
      </c>
      <c r="C104" s="14">
        <v>6832</v>
      </c>
      <c r="D104" s="14">
        <v>0.185</v>
      </c>
      <c r="E104" s="14">
        <v>14</v>
      </c>
      <c r="F104" s="14">
        <v>80.5</v>
      </c>
      <c r="G104" s="14">
        <v>0.77</v>
      </c>
      <c r="H104" s="14">
        <v>1</v>
      </c>
      <c r="I104" s="14">
        <v>4.4000000000000004</v>
      </c>
      <c r="J104" s="21">
        <f>IF('Cleaned Data'!C104 = "East", 1, 0)</f>
        <v>1</v>
      </c>
      <c r="K104" s="21">
        <f>IF('Cleaned Data'!C104 = "West", 1, 0)</f>
        <v>0</v>
      </c>
      <c r="L104" s="21">
        <f>IF('Cleaned Data'!C104 = "North", 1, 0)</f>
        <v>0</v>
      </c>
      <c r="M104" s="21">
        <f>IF('Cleaned Data'!D104 = "Airport", 1, 0)</f>
        <v>0</v>
      </c>
      <c r="N104" s="21">
        <f>IF('Cleaned Data'!D104 = "High Street", 1,0)</f>
        <v>0</v>
      </c>
      <c r="O104" s="21">
        <f>IF('Cleaned Data'!D104 = "Mall", 1,0)</f>
        <v>1</v>
      </c>
    </row>
    <row r="105" spans="1:15">
      <c r="A105" s="13">
        <v>625514.04</v>
      </c>
      <c r="B105" s="14">
        <v>32266.639999999999</v>
      </c>
      <c r="C105" s="14">
        <v>2414</v>
      </c>
      <c r="D105" s="14">
        <v>0.08</v>
      </c>
      <c r="E105" s="14">
        <v>7</v>
      </c>
      <c r="F105" s="14">
        <v>92.1</v>
      </c>
      <c r="G105" s="14">
        <v>1.48</v>
      </c>
      <c r="H105" s="14">
        <v>0</v>
      </c>
      <c r="I105" s="14">
        <v>5</v>
      </c>
      <c r="J105" s="21">
        <f>IF('Cleaned Data'!C105 = "East", 1, 0)</f>
        <v>1</v>
      </c>
      <c r="K105" s="21">
        <f>IF('Cleaned Data'!C105 = "West", 1, 0)</f>
        <v>0</v>
      </c>
      <c r="L105" s="21">
        <f>IF('Cleaned Data'!C105 = "North", 1, 0)</f>
        <v>0</v>
      </c>
      <c r="M105" s="21">
        <f>IF('Cleaned Data'!D105 = "Airport", 1, 0)</f>
        <v>0</v>
      </c>
      <c r="N105" s="21">
        <f>IF('Cleaned Data'!D105 = "High Street", 1,0)</f>
        <v>0</v>
      </c>
      <c r="O105" s="21">
        <f>IF('Cleaned Data'!D105 = "Mall", 1,0)</f>
        <v>1</v>
      </c>
    </row>
    <row r="106" spans="1:15">
      <c r="A106" s="13">
        <v>727227.2</v>
      </c>
      <c r="B106" s="14">
        <v>57919.07</v>
      </c>
      <c r="C106" s="14">
        <v>7374</v>
      </c>
      <c r="D106" s="14">
        <v>0.10299999999999999</v>
      </c>
      <c r="E106" s="14">
        <v>21</v>
      </c>
      <c r="F106" s="14">
        <v>82.3</v>
      </c>
      <c r="G106" s="14">
        <v>2.87</v>
      </c>
      <c r="H106" s="14">
        <v>0</v>
      </c>
      <c r="I106" s="14">
        <v>2.9</v>
      </c>
      <c r="J106" s="21">
        <f>IF('Cleaned Data'!C106 = "East", 1, 0)</f>
        <v>0</v>
      </c>
      <c r="K106" s="21">
        <f>IF('Cleaned Data'!C106 = "West", 1, 0)</f>
        <v>1</v>
      </c>
      <c r="L106" s="21">
        <f>IF('Cleaned Data'!C106 = "North", 1, 0)</f>
        <v>0</v>
      </c>
      <c r="M106" s="21">
        <f>IF('Cleaned Data'!D106 = "Airport", 1, 0)</f>
        <v>0</v>
      </c>
      <c r="N106" s="21">
        <f>IF('Cleaned Data'!D106 = "High Street", 1,0)</f>
        <v>1</v>
      </c>
      <c r="O106" s="21">
        <f>IF('Cleaned Data'!D106 = "Mall", 1,0)</f>
        <v>0</v>
      </c>
    </row>
    <row r="107" spans="1:15">
      <c r="A107" s="13">
        <v>783797.89</v>
      </c>
      <c r="B107" s="14">
        <v>74679.350000000006</v>
      </c>
      <c r="C107" s="14">
        <v>8739</v>
      </c>
      <c r="D107" s="14">
        <v>5.6000000000000001E-2</v>
      </c>
      <c r="E107" s="14">
        <v>21</v>
      </c>
      <c r="F107" s="14">
        <v>91.8</v>
      </c>
      <c r="G107" s="14">
        <v>2.83</v>
      </c>
      <c r="H107" s="14">
        <v>0</v>
      </c>
      <c r="I107" s="14">
        <v>3</v>
      </c>
      <c r="J107" s="21">
        <f>IF('Cleaned Data'!C107 = "East", 1, 0)</f>
        <v>0</v>
      </c>
      <c r="K107" s="21">
        <f>IF('Cleaned Data'!C107 = "West", 1, 0)</f>
        <v>1</v>
      </c>
      <c r="L107" s="21">
        <f>IF('Cleaned Data'!C107 = "North", 1, 0)</f>
        <v>0</v>
      </c>
      <c r="M107" s="21">
        <f>IF('Cleaned Data'!D107 = "Airport", 1, 0)</f>
        <v>0</v>
      </c>
      <c r="N107" s="21">
        <f>IF('Cleaned Data'!D107 = "High Street", 1,0)</f>
        <v>1</v>
      </c>
      <c r="O107" s="21">
        <f>IF('Cleaned Data'!D107 = "Mall", 1,0)</f>
        <v>0</v>
      </c>
    </row>
    <row r="108" spans="1:15">
      <c r="A108" s="13">
        <v>795153.84</v>
      </c>
      <c r="B108" s="14">
        <v>64294.23</v>
      </c>
      <c r="C108" s="14">
        <v>6992</v>
      </c>
      <c r="D108" s="14">
        <v>0.13300000000000001</v>
      </c>
      <c r="E108" s="14">
        <v>14</v>
      </c>
      <c r="F108" s="14">
        <v>94.1</v>
      </c>
      <c r="G108" s="14">
        <v>0.25</v>
      </c>
      <c r="H108" s="14">
        <v>0</v>
      </c>
      <c r="I108" s="14">
        <v>3</v>
      </c>
      <c r="J108" s="21">
        <f>IF('Cleaned Data'!C108 = "East", 1, 0)</f>
        <v>0</v>
      </c>
      <c r="K108" s="21">
        <f>IF('Cleaned Data'!C108 = "West", 1, 0)</f>
        <v>1</v>
      </c>
      <c r="L108" s="21">
        <f>IF('Cleaned Data'!C108 = "North", 1, 0)</f>
        <v>0</v>
      </c>
      <c r="M108" s="21">
        <f>IF('Cleaned Data'!D108 = "Airport", 1, 0)</f>
        <v>0</v>
      </c>
      <c r="N108" s="21">
        <f>IF('Cleaned Data'!D108 = "High Street", 1,0)</f>
        <v>1</v>
      </c>
      <c r="O108" s="21">
        <f>IF('Cleaned Data'!D108 = "Mall", 1,0)</f>
        <v>0</v>
      </c>
    </row>
    <row r="109" spans="1:15">
      <c r="A109" s="13">
        <v>665594.93999999994</v>
      </c>
      <c r="B109" s="14">
        <v>31042.03</v>
      </c>
      <c r="C109" s="14">
        <v>7107</v>
      </c>
      <c r="D109" s="14">
        <v>5.0999999999999997E-2</v>
      </c>
      <c r="E109" s="14">
        <v>15</v>
      </c>
      <c r="F109" s="14">
        <v>87</v>
      </c>
      <c r="G109" s="14">
        <v>13.33</v>
      </c>
      <c r="H109" s="14">
        <v>0</v>
      </c>
      <c r="I109" s="14">
        <v>3.2</v>
      </c>
      <c r="J109" s="21">
        <f>IF('Cleaned Data'!C109 = "East", 1, 0)</f>
        <v>0</v>
      </c>
      <c r="K109" s="21">
        <f>IF('Cleaned Data'!C109 = "West", 1, 0)</f>
        <v>1</v>
      </c>
      <c r="L109" s="21">
        <f>IF('Cleaned Data'!C109 = "North", 1, 0)</f>
        <v>0</v>
      </c>
      <c r="M109" s="21">
        <f>IF('Cleaned Data'!D109 = "Airport", 1, 0)</f>
        <v>0</v>
      </c>
      <c r="N109" s="21">
        <f>IF('Cleaned Data'!D109 = "High Street", 1,0)</f>
        <v>1</v>
      </c>
      <c r="O109" s="21">
        <f>IF('Cleaned Data'!D109 = "Mall", 1,0)</f>
        <v>0</v>
      </c>
    </row>
    <row r="110" spans="1:15">
      <c r="A110" s="13">
        <v>709478.39</v>
      </c>
      <c r="B110" s="14">
        <v>75265.02</v>
      </c>
      <c r="C110" s="14">
        <v>6975</v>
      </c>
      <c r="D110" s="14">
        <v>0.157</v>
      </c>
      <c r="E110" s="14">
        <v>20</v>
      </c>
      <c r="F110" s="14">
        <v>73.8</v>
      </c>
      <c r="G110" s="14">
        <v>6.35</v>
      </c>
      <c r="H110" s="14">
        <v>1</v>
      </c>
      <c r="I110" s="14">
        <v>3.8</v>
      </c>
      <c r="J110" s="21">
        <f>IF('Cleaned Data'!C110 = "East", 1, 0)</f>
        <v>1</v>
      </c>
      <c r="K110" s="21">
        <f>IF('Cleaned Data'!C110 = "West", 1, 0)</f>
        <v>0</v>
      </c>
      <c r="L110" s="21">
        <f>IF('Cleaned Data'!C110 = "North", 1, 0)</f>
        <v>0</v>
      </c>
      <c r="M110" s="21">
        <f>IF('Cleaned Data'!D110 = "Airport", 1, 0)</f>
        <v>0</v>
      </c>
      <c r="N110" s="21">
        <f>IF('Cleaned Data'!D110 = "High Street", 1,0)</f>
        <v>0</v>
      </c>
      <c r="O110" s="21">
        <f>IF('Cleaned Data'!D110 = "Mall", 1,0)</f>
        <v>1</v>
      </c>
    </row>
    <row r="111" spans="1:15">
      <c r="A111" s="13">
        <v>664162.49</v>
      </c>
      <c r="B111" s="14">
        <v>69411.7</v>
      </c>
      <c r="C111" s="14">
        <v>5493</v>
      </c>
      <c r="D111" s="14">
        <v>0.29199999999999998</v>
      </c>
      <c r="E111" s="14">
        <v>13</v>
      </c>
      <c r="F111" s="14">
        <v>86.5</v>
      </c>
      <c r="G111" s="14">
        <v>6.69</v>
      </c>
      <c r="H111" s="14">
        <v>0</v>
      </c>
      <c r="I111" s="14">
        <v>3.8</v>
      </c>
      <c r="J111" s="21">
        <f>IF('Cleaned Data'!C111 = "East", 1, 0)</f>
        <v>1</v>
      </c>
      <c r="K111" s="21">
        <f>IF('Cleaned Data'!C111 = "West", 1, 0)</f>
        <v>0</v>
      </c>
      <c r="L111" s="21">
        <f>IF('Cleaned Data'!C111 = "North", 1, 0)</f>
        <v>0</v>
      </c>
      <c r="M111" s="21">
        <f>IF('Cleaned Data'!D111 = "Airport", 1, 0)</f>
        <v>0</v>
      </c>
      <c r="N111" s="21">
        <f>IF('Cleaned Data'!D111 = "High Street", 1,0)</f>
        <v>0</v>
      </c>
      <c r="O111" s="21">
        <f>IF('Cleaned Data'!D111 = "Mall", 1,0)</f>
        <v>1</v>
      </c>
    </row>
    <row r="112" spans="1:15">
      <c r="A112" s="13">
        <v>633494.21</v>
      </c>
      <c r="B112" s="14">
        <v>51056.15</v>
      </c>
      <c r="C112" s="14">
        <v>5686</v>
      </c>
      <c r="D112" s="14">
        <v>8.8999999999999996E-2</v>
      </c>
      <c r="E112" s="14">
        <v>13</v>
      </c>
      <c r="F112" s="14">
        <v>89.9</v>
      </c>
      <c r="G112" s="14">
        <v>1.28</v>
      </c>
      <c r="H112" s="14">
        <v>0</v>
      </c>
      <c r="I112" s="14">
        <v>4.2</v>
      </c>
      <c r="J112" s="21">
        <f>IF('Cleaned Data'!C112 = "East", 1, 0)</f>
        <v>1</v>
      </c>
      <c r="K112" s="21">
        <f>IF('Cleaned Data'!C112 = "West", 1, 0)</f>
        <v>0</v>
      </c>
      <c r="L112" s="21">
        <f>IF('Cleaned Data'!C112 = "North", 1, 0)</f>
        <v>0</v>
      </c>
      <c r="M112" s="21">
        <f>IF('Cleaned Data'!D112 = "Airport", 1, 0)</f>
        <v>0</v>
      </c>
      <c r="N112" s="21">
        <f>IF('Cleaned Data'!D112 = "High Street", 1,0)</f>
        <v>0</v>
      </c>
      <c r="O112" s="21">
        <f>IF('Cleaned Data'!D112 = "Mall", 1,0)</f>
        <v>1</v>
      </c>
    </row>
    <row r="113" spans="1:15">
      <c r="A113" s="13">
        <v>713611.16</v>
      </c>
      <c r="B113" s="14">
        <v>52758.01</v>
      </c>
      <c r="C113" s="14">
        <v>4063</v>
      </c>
      <c r="D113" s="14">
        <v>5.7000000000000002E-2</v>
      </c>
      <c r="E113" s="14">
        <v>12</v>
      </c>
      <c r="F113" s="14">
        <v>91.7</v>
      </c>
      <c r="G113" s="14">
        <v>0.92</v>
      </c>
      <c r="H113" s="14">
        <v>0</v>
      </c>
      <c r="I113" s="14">
        <v>3.5</v>
      </c>
      <c r="J113" s="21">
        <f>IF('Cleaned Data'!C113 = "East", 1, 0)</f>
        <v>1</v>
      </c>
      <c r="K113" s="21">
        <f>IF('Cleaned Data'!C113 = "West", 1, 0)</f>
        <v>0</v>
      </c>
      <c r="L113" s="21">
        <f>IF('Cleaned Data'!C113 = "North", 1, 0)</f>
        <v>0</v>
      </c>
      <c r="M113" s="21">
        <f>IF('Cleaned Data'!D113 = "Airport", 1, 0)</f>
        <v>0</v>
      </c>
      <c r="N113" s="21">
        <f>IF('Cleaned Data'!D113 = "High Street", 1,0)</f>
        <v>0</v>
      </c>
      <c r="O113" s="21">
        <f>IF('Cleaned Data'!D113 = "Mall", 1,0)</f>
        <v>1</v>
      </c>
    </row>
    <row r="114" spans="1:15">
      <c r="A114" s="13">
        <v>778397.97</v>
      </c>
      <c r="B114" s="14">
        <v>61426.04</v>
      </c>
      <c r="C114" s="14">
        <v>8966</v>
      </c>
      <c r="D114" s="14">
        <v>0.17299999999999999</v>
      </c>
      <c r="E114" s="14">
        <v>22</v>
      </c>
      <c r="F114" s="14">
        <v>76.400000000000006</v>
      </c>
      <c r="G114" s="14">
        <v>1.05</v>
      </c>
      <c r="H114" s="14">
        <v>0</v>
      </c>
      <c r="I114" s="14">
        <v>3.1</v>
      </c>
      <c r="J114" s="21">
        <f>IF('Cleaned Data'!C114 = "East", 1, 0)</f>
        <v>0</v>
      </c>
      <c r="K114" s="21">
        <f>IF('Cleaned Data'!C114 = "West", 1, 0)</f>
        <v>1</v>
      </c>
      <c r="L114" s="21">
        <f>IF('Cleaned Data'!C114 = "North", 1, 0)</f>
        <v>0</v>
      </c>
      <c r="M114" s="21">
        <f>IF('Cleaned Data'!D114 = "Airport", 1, 0)</f>
        <v>0</v>
      </c>
      <c r="N114" s="21">
        <f>IF('Cleaned Data'!D114 = "High Street", 1,0)</f>
        <v>0</v>
      </c>
      <c r="O114" s="21">
        <f>IF('Cleaned Data'!D114 = "Mall", 1,0)</f>
        <v>1</v>
      </c>
    </row>
    <row r="115" spans="1:15">
      <c r="A115" s="13">
        <v>873380.02</v>
      </c>
      <c r="B115" s="14">
        <v>80176.34</v>
      </c>
      <c r="C115" s="14">
        <v>9489</v>
      </c>
      <c r="D115" s="14">
        <v>0.14199999999999999</v>
      </c>
      <c r="E115" s="14">
        <v>22</v>
      </c>
      <c r="F115" s="14">
        <v>94.3</v>
      </c>
      <c r="G115" s="14">
        <v>2.67</v>
      </c>
      <c r="H115" s="14">
        <v>0</v>
      </c>
      <c r="I115" s="14">
        <v>3.5</v>
      </c>
      <c r="J115" s="21">
        <f>IF('Cleaned Data'!C115 = "East", 1, 0)</f>
        <v>0</v>
      </c>
      <c r="K115" s="21">
        <f>IF('Cleaned Data'!C115 = "West", 1, 0)</f>
        <v>1</v>
      </c>
      <c r="L115" s="21">
        <f>IF('Cleaned Data'!C115 = "North", 1, 0)</f>
        <v>0</v>
      </c>
      <c r="M115" s="21">
        <f>IF('Cleaned Data'!D115 = "Airport", 1, 0)</f>
        <v>0</v>
      </c>
      <c r="N115" s="21">
        <f>IF('Cleaned Data'!D115 = "High Street", 1,0)</f>
        <v>0</v>
      </c>
      <c r="O115" s="21">
        <f>IF('Cleaned Data'!D115 = "Mall", 1,0)</f>
        <v>1</v>
      </c>
    </row>
    <row r="116" spans="1:15">
      <c r="A116" s="13">
        <v>697287.9</v>
      </c>
      <c r="B116" s="14">
        <v>33605.18</v>
      </c>
      <c r="C116" s="14">
        <v>9225</v>
      </c>
      <c r="D116" s="14">
        <v>0.159</v>
      </c>
      <c r="E116" s="14">
        <v>23</v>
      </c>
      <c r="F116" s="14">
        <v>88.4</v>
      </c>
      <c r="G116" s="14">
        <v>5.91</v>
      </c>
      <c r="H116" s="14">
        <v>0</v>
      </c>
      <c r="I116" s="14">
        <v>2.8</v>
      </c>
      <c r="J116" s="21">
        <f>IF('Cleaned Data'!C116 = "East", 1, 0)</f>
        <v>0</v>
      </c>
      <c r="K116" s="21">
        <f>IF('Cleaned Data'!C116 = "West", 1, 0)</f>
        <v>1</v>
      </c>
      <c r="L116" s="21">
        <f>IF('Cleaned Data'!C116 = "North", 1, 0)</f>
        <v>0</v>
      </c>
      <c r="M116" s="21">
        <f>IF('Cleaned Data'!D116 = "Airport", 1, 0)</f>
        <v>0</v>
      </c>
      <c r="N116" s="21">
        <f>IF('Cleaned Data'!D116 = "High Street", 1,0)</f>
        <v>0</v>
      </c>
      <c r="O116" s="21">
        <f>IF('Cleaned Data'!D116 = "Mall", 1,0)</f>
        <v>1</v>
      </c>
    </row>
    <row r="117" spans="1:15">
      <c r="A117" s="13">
        <v>718074.79</v>
      </c>
      <c r="B117" s="14">
        <v>25990.54</v>
      </c>
      <c r="C117" s="14">
        <v>9249</v>
      </c>
      <c r="D117" s="14">
        <v>0.13900000000000001</v>
      </c>
      <c r="E117" s="14">
        <v>23</v>
      </c>
      <c r="F117" s="14">
        <v>92.5</v>
      </c>
      <c r="G117" s="14">
        <v>6.37</v>
      </c>
      <c r="H117" s="14">
        <v>0</v>
      </c>
      <c r="I117" s="14">
        <v>3.3</v>
      </c>
      <c r="J117" s="21">
        <f>IF('Cleaned Data'!C117 = "East", 1, 0)</f>
        <v>0</v>
      </c>
      <c r="K117" s="21">
        <f>IF('Cleaned Data'!C117 = "West", 1, 0)</f>
        <v>1</v>
      </c>
      <c r="L117" s="21">
        <f>IF('Cleaned Data'!C117 = "North", 1, 0)</f>
        <v>0</v>
      </c>
      <c r="M117" s="21">
        <f>IF('Cleaned Data'!D117 = "Airport", 1, 0)</f>
        <v>0</v>
      </c>
      <c r="N117" s="21">
        <f>IF('Cleaned Data'!D117 = "High Street", 1,0)</f>
        <v>0</v>
      </c>
      <c r="O117" s="21">
        <f>IF('Cleaned Data'!D117 = "Mall", 1,0)</f>
        <v>1</v>
      </c>
    </row>
    <row r="118" spans="1:15">
      <c r="A118" s="13">
        <v>714942.43</v>
      </c>
      <c r="B118" s="14">
        <v>43685.14</v>
      </c>
      <c r="C118" s="14">
        <v>7821</v>
      </c>
      <c r="D118" s="14">
        <v>0.19</v>
      </c>
      <c r="E118" s="14">
        <v>17</v>
      </c>
      <c r="F118" s="14">
        <v>91</v>
      </c>
      <c r="G118" s="14">
        <v>2.4900000000000002</v>
      </c>
      <c r="H118" s="14">
        <v>1</v>
      </c>
      <c r="I118" s="14">
        <v>4.7</v>
      </c>
      <c r="J118" s="21">
        <f>IF('Cleaned Data'!C118 = "East", 1, 0)</f>
        <v>0</v>
      </c>
      <c r="K118" s="21">
        <f>IF('Cleaned Data'!C118 = "West", 1, 0)</f>
        <v>1</v>
      </c>
      <c r="L118" s="21">
        <f>IF('Cleaned Data'!C118 = "North", 1, 0)</f>
        <v>0</v>
      </c>
      <c r="M118" s="21">
        <f>IF('Cleaned Data'!D118 = "Airport", 1, 0)</f>
        <v>0</v>
      </c>
      <c r="N118" s="21">
        <f>IF('Cleaned Data'!D118 = "High Street", 1,0)</f>
        <v>0</v>
      </c>
      <c r="O118" s="21">
        <f>IF('Cleaned Data'!D118 = "Mall", 1,0)</f>
        <v>0</v>
      </c>
    </row>
    <row r="119" spans="1:15">
      <c r="A119" s="13">
        <v>820519.04</v>
      </c>
      <c r="B119" s="14">
        <v>57360.01</v>
      </c>
      <c r="C119" s="14">
        <v>8434</v>
      </c>
      <c r="D119" s="14">
        <v>0.151</v>
      </c>
      <c r="E119" s="14">
        <v>19</v>
      </c>
      <c r="F119" s="14">
        <v>84.1</v>
      </c>
      <c r="G119" s="14">
        <v>1.56</v>
      </c>
      <c r="H119" s="14">
        <v>0</v>
      </c>
      <c r="I119" s="14">
        <v>4.7</v>
      </c>
      <c r="J119" s="21">
        <f>IF('Cleaned Data'!C119 = "East", 1, 0)</f>
        <v>0</v>
      </c>
      <c r="K119" s="21">
        <f>IF('Cleaned Data'!C119 = "West", 1, 0)</f>
        <v>1</v>
      </c>
      <c r="L119" s="21">
        <f>IF('Cleaned Data'!C119 = "North", 1, 0)</f>
        <v>0</v>
      </c>
      <c r="M119" s="21">
        <f>IF('Cleaned Data'!D119 = "Airport", 1, 0)</f>
        <v>0</v>
      </c>
      <c r="N119" s="21">
        <f>IF('Cleaned Data'!D119 = "High Street", 1,0)</f>
        <v>0</v>
      </c>
      <c r="O119" s="21">
        <f>IF('Cleaned Data'!D119 = "Mall", 1,0)</f>
        <v>0</v>
      </c>
    </row>
    <row r="120" spans="1:15">
      <c r="A120" s="13">
        <v>684217.32</v>
      </c>
      <c r="B120" s="14">
        <v>42415.47</v>
      </c>
      <c r="C120" s="14">
        <v>8512</v>
      </c>
      <c r="D120" s="14">
        <v>0.13300000000000001</v>
      </c>
      <c r="E120" s="14">
        <v>18</v>
      </c>
      <c r="F120" s="14">
        <v>96.8</v>
      </c>
      <c r="G120" s="14">
        <v>14.95</v>
      </c>
      <c r="H120" s="14">
        <v>0</v>
      </c>
      <c r="I120" s="14">
        <v>4.5999999999999996</v>
      </c>
      <c r="J120" s="21">
        <f>IF('Cleaned Data'!C120 = "East", 1, 0)</f>
        <v>0</v>
      </c>
      <c r="K120" s="21">
        <f>IF('Cleaned Data'!C120 = "West", 1, 0)</f>
        <v>1</v>
      </c>
      <c r="L120" s="21">
        <f>IF('Cleaned Data'!C120 = "North", 1, 0)</f>
        <v>0</v>
      </c>
      <c r="M120" s="21">
        <f>IF('Cleaned Data'!D120 = "Airport", 1, 0)</f>
        <v>0</v>
      </c>
      <c r="N120" s="21">
        <f>IF('Cleaned Data'!D120 = "High Street", 1,0)</f>
        <v>0</v>
      </c>
      <c r="O120" s="21">
        <f>IF('Cleaned Data'!D120 = "Mall", 1,0)</f>
        <v>0</v>
      </c>
    </row>
    <row r="121" spans="1:15">
      <c r="A121" s="13">
        <v>735480.19</v>
      </c>
      <c r="B121" s="14">
        <v>54968.98</v>
      </c>
      <c r="C121" s="14">
        <v>7816</v>
      </c>
      <c r="D121" s="14">
        <v>0.23200000000000001</v>
      </c>
      <c r="E121" s="14">
        <v>19</v>
      </c>
      <c r="F121" s="14">
        <v>95.7</v>
      </c>
      <c r="G121" s="14">
        <v>7.85</v>
      </c>
      <c r="H121" s="14">
        <v>0</v>
      </c>
      <c r="I121" s="14">
        <v>4.7</v>
      </c>
      <c r="J121" s="21">
        <f>IF('Cleaned Data'!C121 = "East", 1, 0)</f>
        <v>0</v>
      </c>
      <c r="K121" s="21">
        <f>IF('Cleaned Data'!C121 = "West", 1, 0)</f>
        <v>1</v>
      </c>
      <c r="L121" s="21">
        <f>IF('Cleaned Data'!C121 = "North", 1, 0)</f>
        <v>0</v>
      </c>
      <c r="M121" s="21">
        <f>IF('Cleaned Data'!D121 = "Airport", 1, 0)</f>
        <v>0</v>
      </c>
      <c r="N121" s="21">
        <f>IF('Cleaned Data'!D121 = "High Street", 1,0)</f>
        <v>0</v>
      </c>
      <c r="O121" s="21">
        <f>IF('Cleaned Data'!D121 = "Mall", 1,0)</f>
        <v>0</v>
      </c>
    </row>
    <row r="122" spans="1:15">
      <c r="A122" s="13">
        <v>509484.81</v>
      </c>
      <c r="B122" s="14">
        <v>43896.13</v>
      </c>
      <c r="C122" s="14">
        <v>3853</v>
      </c>
      <c r="D122" s="14">
        <v>8.7999999999999995E-2</v>
      </c>
      <c r="E122" s="14">
        <v>13</v>
      </c>
      <c r="F122" s="14">
        <v>83</v>
      </c>
      <c r="G122" s="14">
        <v>6.8</v>
      </c>
      <c r="H122" s="14">
        <v>0</v>
      </c>
      <c r="I122" s="14">
        <v>4.4000000000000004</v>
      </c>
      <c r="J122" s="21">
        <f>IF('Cleaned Data'!C122 = "East", 1, 0)</f>
        <v>0</v>
      </c>
      <c r="K122" s="21">
        <f>IF('Cleaned Data'!C122 = "West", 1, 0)</f>
        <v>0</v>
      </c>
      <c r="L122" s="21">
        <f>IF('Cleaned Data'!C122 = "North", 1, 0)</f>
        <v>1</v>
      </c>
      <c r="M122" s="21">
        <f>IF('Cleaned Data'!D122 = "Airport", 1, 0)</f>
        <v>0</v>
      </c>
      <c r="N122" s="21">
        <f>IF('Cleaned Data'!D122 = "High Street", 1,0)</f>
        <v>1</v>
      </c>
      <c r="O122" s="21">
        <f>IF('Cleaned Data'!D122 = "Mall", 1,0)</f>
        <v>0</v>
      </c>
    </row>
    <row r="123" spans="1:15">
      <c r="A123" s="13">
        <v>654317.09</v>
      </c>
      <c r="B123" s="14">
        <v>83044.17</v>
      </c>
      <c r="C123" s="14">
        <v>3694</v>
      </c>
      <c r="D123" s="14">
        <v>0</v>
      </c>
      <c r="E123" s="14">
        <v>14</v>
      </c>
      <c r="F123" s="14">
        <v>89.4</v>
      </c>
      <c r="G123" s="14">
        <v>2.2000000000000002</v>
      </c>
      <c r="H123" s="14">
        <v>0</v>
      </c>
      <c r="I123" s="14">
        <v>3.7</v>
      </c>
      <c r="J123" s="21">
        <f>IF('Cleaned Data'!C123 = "East", 1, 0)</f>
        <v>0</v>
      </c>
      <c r="K123" s="21">
        <f>IF('Cleaned Data'!C123 = "West", 1, 0)</f>
        <v>0</v>
      </c>
      <c r="L123" s="21">
        <f>IF('Cleaned Data'!C123 = "North", 1, 0)</f>
        <v>1</v>
      </c>
      <c r="M123" s="21">
        <f>IF('Cleaned Data'!D123 = "Airport", 1, 0)</f>
        <v>0</v>
      </c>
      <c r="N123" s="21">
        <f>IF('Cleaned Data'!D123 = "High Street", 1,0)</f>
        <v>1</v>
      </c>
      <c r="O123" s="21">
        <f>IF('Cleaned Data'!D123 = "Mall", 1,0)</f>
        <v>0</v>
      </c>
    </row>
    <row r="124" spans="1:15">
      <c r="A124" s="13">
        <v>557487.26</v>
      </c>
      <c r="B124" s="14">
        <v>48396.13</v>
      </c>
      <c r="C124" s="14">
        <v>4423</v>
      </c>
      <c r="D124" s="14">
        <v>6.9000000000000006E-2</v>
      </c>
      <c r="E124" s="14">
        <v>15</v>
      </c>
      <c r="F124" s="14">
        <v>85.7</v>
      </c>
      <c r="G124" s="14">
        <v>1.88</v>
      </c>
      <c r="H124" s="14">
        <v>0</v>
      </c>
      <c r="I124" s="14">
        <v>3.9</v>
      </c>
      <c r="J124" s="21">
        <f>IF('Cleaned Data'!C124 = "East", 1, 0)</f>
        <v>0</v>
      </c>
      <c r="K124" s="21">
        <f>IF('Cleaned Data'!C124 = "West", 1, 0)</f>
        <v>0</v>
      </c>
      <c r="L124" s="21">
        <f>IF('Cleaned Data'!C124 = "North", 1, 0)</f>
        <v>1</v>
      </c>
      <c r="M124" s="21">
        <f>IF('Cleaned Data'!D124 = "Airport", 1, 0)</f>
        <v>0</v>
      </c>
      <c r="N124" s="21">
        <f>IF('Cleaned Data'!D124 = "High Street", 1,0)</f>
        <v>1</v>
      </c>
      <c r="O124" s="21">
        <f>IF('Cleaned Data'!D124 = "Mall", 1,0)</f>
        <v>0</v>
      </c>
    </row>
    <row r="125" spans="1:15">
      <c r="A125" s="13">
        <v>441275.42</v>
      </c>
      <c r="B125" s="14">
        <v>19063.48</v>
      </c>
      <c r="C125" s="14">
        <v>1906</v>
      </c>
      <c r="D125" s="14">
        <v>0.216</v>
      </c>
      <c r="E125" s="14">
        <v>10</v>
      </c>
      <c r="F125" s="14">
        <v>97.8</v>
      </c>
      <c r="G125" s="14">
        <v>15.79</v>
      </c>
      <c r="H125" s="14">
        <v>0</v>
      </c>
      <c r="I125" s="14">
        <v>4.4000000000000004</v>
      </c>
      <c r="J125" s="21">
        <f>IF('Cleaned Data'!C125 = "East", 1, 0)</f>
        <v>0</v>
      </c>
      <c r="K125" s="21">
        <f>IF('Cleaned Data'!C125 = "West", 1, 0)</f>
        <v>0</v>
      </c>
      <c r="L125" s="21">
        <f>IF('Cleaned Data'!C125 = "North", 1, 0)</f>
        <v>1</v>
      </c>
      <c r="M125" s="21">
        <f>IF('Cleaned Data'!D125 = "Airport", 1, 0)</f>
        <v>0</v>
      </c>
      <c r="N125" s="21">
        <f>IF('Cleaned Data'!D125 = "High Street", 1,0)</f>
        <v>1</v>
      </c>
      <c r="O125" s="21">
        <f>IF('Cleaned Data'!D125 = "Mall", 1,0)</f>
        <v>0</v>
      </c>
    </row>
    <row r="126" spans="1:15">
      <c r="A126" s="13">
        <v>914544.17</v>
      </c>
      <c r="B126" s="14">
        <v>61541.21</v>
      </c>
      <c r="C126" s="14">
        <v>10396</v>
      </c>
      <c r="D126" s="14">
        <v>0.123</v>
      </c>
      <c r="E126" s="14">
        <v>25</v>
      </c>
      <c r="F126" s="14">
        <v>88.1</v>
      </c>
      <c r="G126" s="14">
        <v>2.34</v>
      </c>
      <c r="H126" s="14">
        <v>1</v>
      </c>
      <c r="I126" s="14">
        <v>4.8</v>
      </c>
      <c r="J126" s="21">
        <f>IF('Cleaned Data'!C126 = "East", 1, 0)</f>
        <v>0</v>
      </c>
      <c r="K126" s="21">
        <f>IF('Cleaned Data'!C126 = "West", 1, 0)</f>
        <v>0</v>
      </c>
      <c r="L126" s="21">
        <f>IF('Cleaned Data'!C126 = "North", 1, 0)</f>
        <v>0</v>
      </c>
      <c r="M126" s="21">
        <f>IF('Cleaned Data'!D126 = "Airport", 1, 0)</f>
        <v>0</v>
      </c>
      <c r="N126" s="21">
        <f>IF('Cleaned Data'!D126 = "High Street", 1,0)</f>
        <v>1</v>
      </c>
      <c r="O126" s="21">
        <f>IF('Cleaned Data'!D126 = "Mall", 1,0)</f>
        <v>0</v>
      </c>
    </row>
    <row r="127" spans="1:15">
      <c r="A127" s="13">
        <v>842439.67</v>
      </c>
      <c r="B127" s="14">
        <v>44747</v>
      </c>
      <c r="C127" s="14">
        <v>11076</v>
      </c>
      <c r="D127" s="14">
        <v>0.17599999999999999</v>
      </c>
      <c r="E127" s="14">
        <v>27</v>
      </c>
      <c r="F127" s="14">
        <v>98.3</v>
      </c>
      <c r="G127" s="14">
        <v>0.54</v>
      </c>
      <c r="H127" s="14">
        <v>0</v>
      </c>
      <c r="I127" s="14">
        <v>4.4000000000000004</v>
      </c>
      <c r="J127" s="21">
        <f>IF('Cleaned Data'!C127 = "East", 1, 0)</f>
        <v>0</v>
      </c>
      <c r="K127" s="21">
        <f>IF('Cleaned Data'!C127 = "West", 1, 0)</f>
        <v>0</v>
      </c>
      <c r="L127" s="21">
        <f>IF('Cleaned Data'!C127 = "North", 1, 0)</f>
        <v>0</v>
      </c>
      <c r="M127" s="21">
        <f>IF('Cleaned Data'!D127 = "Airport", 1, 0)</f>
        <v>0</v>
      </c>
      <c r="N127" s="21">
        <f>IF('Cleaned Data'!D127 = "High Street", 1,0)</f>
        <v>1</v>
      </c>
      <c r="O127" s="21">
        <f>IF('Cleaned Data'!D127 = "Mall", 1,0)</f>
        <v>0</v>
      </c>
    </row>
    <row r="128" spans="1:15">
      <c r="A128" s="13">
        <v>842157.92</v>
      </c>
      <c r="B128" s="14">
        <v>56517.9</v>
      </c>
      <c r="C128" s="14">
        <v>9574</v>
      </c>
      <c r="D128" s="14">
        <v>0.20399999999999999</v>
      </c>
      <c r="E128" s="14">
        <v>20</v>
      </c>
      <c r="F128" s="14">
        <v>88.2</v>
      </c>
      <c r="G128" s="14">
        <v>5.37</v>
      </c>
      <c r="H128" s="14">
        <v>1</v>
      </c>
      <c r="I128" s="14">
        <v>4.9000000000000004</v>
      </c>
      <c r="J128" s="21">
        <f>IF('Cleaned Data'!C128 = "East", 1, 0)</f>
        <v>0</v>
      </c>
      <c r="K128" s="21">
        <f>IF('Cleaned Data'!C128 = "West", 1, 0)</f>
        <v>0</v>
      </c>
      <c r="L128" s="21">
        <f>IF('Cleaned Data'!C128 = "North", 1, 0)</f>
        <v>0</v>
      </c>
      <c r="M128" s="21">
        <f>IF('Cleaned Data'!D128 = "Airport", 1, 0)</f>
        <v>0</v>
      </c>
      <c r="N128" s="21">
        <f>IF('Cleaned Data'!D128 = "High Street", 1,0)</f>
        <v>1</v>
      </c>
      <c r="O128" s="21">
        <f>IF('Cleaned Data'!D128 = "Mall", 1,0)</f>
        <v>0</v>
      </c>
    </row>
    <row r="129" spans="1:15">
      <c r="A129" s="13">
        <v>697155.3</v>
      </c>
      <c r="B129" s="14">
        <v>37828.5</v>
      </c>
      <c r="C129" s="14">
        <v>8221</v>
      </c>
      <c r="D129" s="14">
        <v>9.6000000000000002E-2</v>
      </c>
      <c r="E129" s="14">
        <v>19</v>
      </c>
      <c r="F129" s="14">
        <v>81.5</v>
      </c>
      <c r="G129" s="14">
        <v>3.19</v>
      </c>
      <c r="H129" s="14">
        <v>0</v>
      </c>
      <c r="I129" s="14">
        <v>4.8</v>
      </c>
      <c r="J129" s="21">
        <f>IF('Cleaned Data'!C129 = "East", 1, 0)</f>
        <v>0</v>
      </c>
      <c r="K129" s="21">
        <f>IF('Cleaned Data'!C129 = "West", 1, 0)</f>
        <v>0</v>
      </c>
      <c r="L129" s="21">
        <f>IF('Cleaned Data'!C129 = "North", 1, 0)</f>
        <v>0</v>
      </c>
      <c r="M129" s="21">
        <f>IF('Cleaned Data'!D129 = "Airport", 1, 0)</f>
        <v>0</v>
      </c>
      <c r="N129" s="21">
        <f>IF('Cleaned Data'!D129 = "High Street", 1,0)</f>
        <v>1</v>
      </c>
      <c r="O129" s="21">
        <f>IF('Cleaned Data'!D129 = "Mall", 1,0)</f>
        <v>0</v>
      </c>
    </row>
    <row r="130" spans="1:15">
      <c r="A130" s="13">
        <v>849018.3</v>
      </c>
      <c r="B130" s="14">
        <v>66250.53</v>
      </c>
      <c r="C130" s="14">
        <v>10618</v>
      </c>
      <c r="D130" s="14">
        <v>0.14199999999999999</v>
      </c>
      <c r="E130" s="14">
        <v>27</v>
      </c>
      <c r="F130" s="14">
        <v>88.3</v>
      </c>
      <c r="G130" s="14">
        <v>1.1000000000000001</v>
      </c>
      <c r="H130" s="14">
        <v>1</v>
      </c>
      <c r="I130" s="14">
        <v>4.4000000000000004</v>
      </c>
      <c r="J130" s="21">
        <f>IF('Cleaned Data'!C130 = "East", 1, 0)</f>
        <v>1</v>
      </c>
      <c r="K130" s="21">
        <f>IF('Cleaned Data'!C130 = "West", 1, 0)</f>
        <v>0</v>
      </c>
      <c r="L130" s="21">
        <f>IF('Cleaned Data'!C130 = "North", 1, 0)</f>
        <v>0</v>
      </c>
      <c r="M130" s="21">
        <f>IF('Cleaned Data'!D130 = "Airport", 1, 0)</f>
        <v>0</v>
      </c>
      <c r="N130" s="21">
        <f>IF('Cleaned Data'!D130 = "High Street", 1,0)</f>
        <v>1</v>
      </c>
      <c r="O130" s="21">
        <f>IF('Cleaned Data'!D130 = "Mall", 1,0)</f>
        <v>0</v>
      </c>
    </row>
    <row r="131" spans="1:15">
      <c r="A131" s="13">
        <v>801830.35</v>
      </c>
      <c r="B131" s="14">
        <v>68410.929999999993</v>
      </c>
      <c r="C131" s="14">
        <v>10596</v>
      </c>
      <c r="D131" s="14">
        <v>0.20699999999999999</v>
      </c>
      <c r="E131" s="14">
        <v>25</v>
      </c>
      <c r="F131" s="14">
        <v>81.2</v>
      </c>
      <c r="G131" s="14">
        <v>0.21</v>
      </c>
      <c r="H131" s="14">
        <v>0</v>
      </c>
      <c r="I131" s="14">
        <v>4</v>
      </c>
      <c r="J131" s="21">
        <f>IF('Cleaned Data'!C131 = "East", 1, 0)</f>
        <v>1</v>
      </c>
      <c r="K131" s="21">
        <f>IF('Cleaned Data'!C131 = "West", 1, 0)</f>
        <v>0</v>
      </c>
      <c r="L131" s="21">
        <f>IF('Cleaned Data'!C131 = "North", 1, 0)</f>
        <v>0</v>
      </c>
      <c r="M131" s="21">
        <f>IF('Cleaned Data'!D131 = "Airport", 1, 0)</f>
        <v>0</v>
      </c>
      <c r="N131" s="21">
        <f>IF('Cleaned Data'!D131 = "High Street", 1,0)</f>
        <v>1</v>
      </c>
      <c r="O131" s="21">
        <f>IF('Cleaned Data'!D131 = "Mall", 1,0)</f>
        <v>0</v>
      </c>
    </row>
    <row r="132" spans="1:15">
      <c r="A132" s="13">
        <v>725235.28</v>
      </c>
      <c r="B132" s="14">
        <v>50735.63</v>
      </c>
      <c r="C132" s="14">
        <v>9619</v>
      </c>
      <c r="D132" s="14">
        <v>0.14399999999999999</v>
      </c>
      <c r="E132" s="14">
        <v>19</v>
      </c>
      <c r="F132" s="14">
        <v>93.8</v>
      </c>
      <c r="G132" s="14">
        <v>5.12</v>
      </c>
      <c r="H132" s="14">
        <v>1</v>
      </c>
      <c r="I132" s="14">
        <v>4.5</v>
      </c>
      <c r="J132" s="21">
        <f>IF('Cleaned Data'!C132 = "East", 1, 0)</f>
        <v>1</v>
      </c>
      <c r="K132" s="21">
        <f>IF('Cleaned Data'!C132 = "West", 1, 0)</f>
        <v>0</v>
      </c>
      <c r="L132" s="21">
        <f>IF('Cleaned Data'!C132 = "North", 1, 0)</f>
        <v>0</v>
      </c>
      <c r="M132" s="21">
        <f>IF('Cleaned Data'!D132 = "Airport", 1, 0)</f>
        <v>0</v>
      </c>
      <c r="N132" s="21">
        <f>IF('Cleaned Data'!D132 = "High Street", 1,0)</f>
        <v>1</v>
      </c>
      <c r="O132" s="21">
        <f>IF('Cleaned Data'!D132 = "Mall", 1,0)</f>
        <v>0</v>
      </c>
    </row>
    <row r="133" spans="1:15">
      <c r="A133" s="13">
        <v>811452.72</v>
      </c>
      <c r="B133" s="14">
        <v>66455.8</v>
      </c>
      <c r="C133" s="14">
        <v>10836</v>
      </c>
      <c r="D133" s="14">
        <v>8.8999999999999996E-2</v>
      </c>
      <c r="E133" s="14">
        <v>25</v>
      </c>
      <c r="F133" s="14">
        <v>85</v>
      </c>
      <c r="G133" s="14">
        <v>9.77</v>
      </c>
      <c r="H133" s="14">
        <v>0</v>
      </c>
      <c r="I133" s="14">
        <v>4.5</v>
      </c>
      <c r="J133" s="21">
        <f>IF('Cleaned Data'!C133 = "East", 1, 0)</f>
        <v>1</v>
      </c>
      <c r="K133" s="21">
        <f>IF('Cleaned Data'!C133 = "West", 1, 0)</f>
        <v>0</v>
      </c>
      <c r="L133" s="21">
        <f>IF('Cleaned Data'!C133 = "North", 1, 0)</f>
        <v>0</v>
      </c>
      <c r="M133" s="21">
        <f>IF('Cleaned Data'!D133 = "Airport", 1, 0)</f>
        <v>0</v>
      </c>
      <c r="N133" s="21">
        <f>IF('Cleaned Data'!D133 = "High Street", 1,0)</f>
        <v>1</v>
      </c>
      <c r="O133" s="21">
        <f>IF('Cleaned Data'!D133 = "Mall", 1,0)</f>
        <v>0</v>
      </c>
    </row>
    <row r="134" spans="1:15">
      <c r="A134" s="13">
        <v>527300.13</v>
      </c>
      <c r="B134" s="14">
        <v>70276.28</v>
      </c>
      <c r="C134" s="14">
        <v>3043</v>
      </c>
      <c r="D134" s="14">
        <v>7.9000000000000001E-2</v>
      </c>
      <c r="E134" s="14">
        <v>9</v>
      </c>
      <c r="F134" s="14">
        <v>87.9</v>
      </c>
      <c r="G134" s="14">
        <v>3.77</v>
      </c>
      <c r="H134" s="14">
        <v>0</v>
      </c>
      <c r="I134" s="14">
        <v>4.4000000000000004</v>
      </c>
      <c r="J134" s="21">
        <f>IF('Cleaned Data'!C134 = "East", 1, 0)</f>
        <v>0</v>
      </c>
      <c r="K134" s="21">
        <f>IF('Cleaned Data'!C134 = "West", 1, 0)</f>
        <v>0</v>
      </c>
      <c r="L134" s="21">
        <f>IF('Cleaned Data'!C134 = "North", 1, 0)</f>
        <v>1</v>
      </c>
      <c r="M134" s="21">
        <f>IF('Cleaned Data'!D134 = "Airport", 1, 0)</f>
        <v>0</v>
      </c>
      <c r="N134" s="21">
        <f>IF('Cleaned Data'!D134 = "High Street", 1,0)</f>
        <v>1</v>
      </c>
      <c r="O134" s="21">
        <f>IF('Cleaned Data'!D134 = "Mall", 1,0)</f>
        <v>0</v>
      </c>
    </row>
    <row r="135" spans="1:15">
      <c r="A135" s="13">
        <v>400831.65</v>
      </c>
      <c r="B135" s="14">
        <v>22071.64</v>
      </c>
      <c r="C135" s="14">
        <v>1814</v>
      </c>
      <c r="D135" s="14">
        <v>0.19600000000000001</v>
      </c>
      <c r="E135" s="14">
        <v>8</v>
      </c>
      <c r="F135" s="14">
        <v>81.099999999999994</v>
      </c>
      <c r="G135" s="14">
        <v>0.78</v>
      </c>
      <c r="H135" s="14">
        <v>0</v>
      </c>
      <c r="I135" s="14">
        <v>3.8</v>
      </c>
      <c r="J135" s="21">
        <f>IF('Cleaned Data'!C135 = "East", 1, 0)</f>
        <v>0</v>
      </c>
      <c r="K135" s="21">
        <f>IF('Cleaned Data'!C135 = "West", 1, 0)</f>
        <v>0</v>
      </c>
      <c r="L135" s="21">
        <f>IF('Cleaned Data'!C135 = "North", 1, 0)</f>
        <v>1</v>
      </c>
      <c r="M135" s="21">
        <f>IF('Cleaned Data'!D135 = "Airport", 1, 0)</f>
        <v>0</v>
      </c>
      <c r="N135" s="21">
        <f>IF('Cleaned Data'!D135 = "High Street", 1,0)</f>
        <v>1</v>
      </c>
      <c r="O135" s="21">
        <f>IF('Cleaned Data'!D135 = "Mall", 1,0)</f>
        <v>0</v>
      </c>
    </row>
    <row r="136" spans="1:15">
      <c r="A136" s="13">
        <v>593247.25</v>
      </c>
      <c r="B136" s="14">
        <v>52285.45</v>
      </c>
      <c r="C136" s="14">
        <v>3618</v>
      </c>
      <c r="D136" s="14">
        <v>8.5999999999999993E-2</v>
      </c>
      <c r="E136" s="14">
        <v>11</v>
      </c>
      <c r="F136" s="14">
        <v>95.6</v>
      </c>
      <c r="G136" s="14">
        <v>5.17</v>
      </c>
      <c r="H136" s="14">
        <v>1</v>
      </c>
      <c r="I136" s="14">
        <v>4.4000000000000004</v>
      </c>
      <c r="J136" s="21">
        <f>IF('Cleaned Data'!C136 = "East", 1, 0)</f>
        <v>0</v>
      </c>
      <c r="K136" s="21">
        <f>IF('Cleaned Data'!C136 = "West", 1, 0)</f>
        <v>0</v>
      </c>
      <c r="L136" s="21">
        <f>IF('Cleaned Data'!C136 = "North", 1, 0)</f>
        <v>1</v>
      </c>
      <c r="M136" s="21">
        <f>IF('Cleaned Data'!D136 = "Airport", 1, 0)</f>
        <v>0</v>
      </c>
      <c r="N136" s="21">
        <f>IF('Cleaned Data'!D136 = "High Street", 1,0)</f>
        <v>1</v>
      </c>
      <c r="O136" s="21">
        <f>IF('Cleaned Data'!D136 = "Mall", 1,0)</f>
        <v>0</v>
      </c>
    </row>
    <row r="137" spans="1:15">
      <c r="A137" s="13">
        <v>529075.94999999995</v>
      </c>
      <c r="B137" s="14">
        <v>70366.759999999995</v>
      </c>
      <c r="C137" s="14">
        <v>1963</v>
      </c>
      <c r="D137" s="14">
        <v>0.182</v>
      </c>
      <c r="E137" s="14">
        <v>8</v>
      </c>
      <c r="F137" s="14">
        <v>89.8</v>
      </c>
      <c r="G137" s="14">
        <v>3.2</v>
      </c>
      <c r="H137" s="14">
        <v>0</v>
      </c>
      <c r="I137" s="14">
        <v>4.5999999999999996</v>
      </c>
      <c r="J137" s="21">
        <f>IF('Cleaned Data'!C137 = "East", 1, 0)</f>
        <v>0</v>
      </c>
      <c r="K137" s="21">
        <f>IF('Cleaned Data'!C137 = "West", 1, 0)</f>
        <v>0</v>
      </c>
      <c r="L137" s="21">
        <f>IF('Cleaned Data'!C137 = "North", 1, 0)</f>
        <v>1</v>
      </c>
      <c r="M137" s="21">
        <f>IF('Cleaned Data'!D137 = "Airport", 1, 0)</f>
        <v>0</v>
      </c>
      <c r="N137" s="21">
        <f>IF('Cleaned Data'!D137 = "High Street", 1,0)</f>
        <v>1</v>
      </c>
      <c r="O137" s="21">
        <f>IF('Cleaned Data'!D137 = "Mall", 1,0)</f>
        <v>0</v>
      </c>
    </row>
    <row r="138" spans="1:15">
      <c r="A138" s="13">
        <v>633638.03</v>
      </c>
      <c r="B138" s="14">
        <v>71320.66</v>
      </c>
      <c r="C138" s="14">
        <v>7888</v>
      </c>
      <c r="D138" s="14">
        <v>4.8000000000000001E-2</v>
      </c>
      <c r="E138" s="14">
        <v>20</v>
      </c>
      <c r="F138" s="14">
        <v>78.099999999999994</v>
      </c>
      <c r="G138" s="14">
        <v>3.4</v>
      </c>
      <c r="H138" s="14">
        <v>0</v>
      </c>
      <c r="I138" s="14">
        <v>3.9</v>
      </c>
      <c r="J138" s="21">
        <f>IF('Cleaned Data'!C138 = "East", 1, 0)</f>
        <v>0</v>
      </c>
      <c r="K138" s="21">
        <f>IF('Cleaned Data'!C138 = "West", 1, 0)</f>
        <v>0</v>
      </c>
      <c r="L138" s="21">
        <f>IF('Cleaned Data'!C138 = "North", 1, 0)</f>
        <v>0</v>
      </c>
      <c r="M138" s="21">
        <f>IF('Cleaned Data'!D138 = "Airport", 1, 0)</f>
        <v>0</v>
      </c>
      <c r="N138" s="21">
        <f>IF('Cleaned Data'!D138 = "High Street", 1,0)</f>
        <v>0</v>
      </c>
      <c r="O138" s="21">
        <f>IF('Cleaned Data'!D138 = "Mall", 1,0)</f>
        <v>0</v>
      </c>
    </row>
    <row r="139" spans="1:15">
      <c r="A139" s="13">
        <v>743348.84</v>
      </c>
      <c r="B139" s="14">
        <v>75109.67</v>
      </c>
      <c r="C139" s="14">
        <v>6244</v>
      </c>
      <c r="D139" s="14">
        <v>7.9000000000000001E-2</v>
      </c>
      <c r="E139" s="14">
        <v>15</v>
      </c>
      <c r="F139" s="14">
        <v>96.3</v>
      </c>
      <c r="G139" s="14">
        <v>7.38</v>
      </c>
      <c r="H139" s="14">
        <v>0</v>
      </c>
      <c r="I139" s="14">
        <v>3.7</v>
      </c>
      <c r="J139" s="21">
        <f>IF('Cleaned Data'!C139 = "East", 1, 0)</f>
        <v>0</v>
      </c>
      <c r="K139" s="21">
        <f>IF('Cleaned Data'!C139 = "West", 1, 0)</f>
        <v>0</v>
      </c>
      <c r="L139" s="21">
        <f>IF('Cleaned Data'!C139 = "North", 1, 0)</f>
        <v>0</v>
      </c>
      <c r="M139" s="21">
        <f>IF('Cleaned Data'!D139 = "Airport", 1, 0)</f>
        <v>0</v>
      </c>
      <c r="N139" s="21">
        <f>IF('Cleaned Data'!D139 = "High Street", 1,0)</f>
        <v>0</v>
      </c>
      <c r="O139" s="21">
        <f>IF('Cleaned Data'!D139 = "Mall", 1,0)</f>
        <v>0</v>
      </c>
    </row>
    <row r="140" spans="1:15">
      <c r="A140" s="13">
        <v>758827.64</v>
      </c>
      <c r="B140" s="14">
        <v>69779</v>
      </c>
      <c r="C140" s="14">
        <v>6544</v>
      </c>
      <c r="D140" s="14">
        <v>0.152</v>
      </c>
      <c r="E140" s="14">
        <v>18</v>
      </c>
      <c r="F140" s="14">
        <v>90.2</v>
      </c>
      <c r="G140" s="14">
        <v>0.85</v>
      </c>
      <c r="H140" s="14">
        <v>1</v>
      </c>
      <c r="I140" s="14">
        <v>3.3</v>
      </c>
      <c r="J140" s="21">
        <f>IF('Cleaned Data'!C140 = "East", 1, 0)</f>
        <v>0</v>
      </c>
      <c r="K140" s="21">
        <f>IF('Cleaned Data'!C140 = "West", 1, 0)</f>
        <v>0</v>
      </c>
      <c r="L140" s="21">
        <f>IF('Cleaned Data'!C140 = "North", 1, 0)</f>
        <v>0</v>
      </c>
      <c r="M140" s="21">
        <f>IF('Cleaned Data'!D140 = "Airport", 1, 0)</f>
        <v>0</v>
      </c>
      <c r="N140" s="21">
        <f>IF('Cleaned Data'!D140 = "High Street", 1,0)</f>
        <v>0</v>
      </c>
      <c r="O140" s="21">
        <f>IF('Cleaned Data'!D140 = "Mall", 1,0)</f>
        <v>0</v>
      </c>
    </row>
    <row r="141" spans="1:15">
      <c r="A141" s="13">
        <v>646559.71</v>
      </c>
      <c r="B141" s="14">
        <v>44211.95</v>
      </c>
      <c r="C141" s="14">
        <v>5465</v>
      </c>
      <c r="D141" s="14">
        <v>0.187</v>
      </c>
      <c r="E141" s="14">
        <v>12</v>
      </c>
      <c r="F141" s="14">
        <v>90</v>
      </c>
      <c r="G141" s="14">
        <v>2.89</v>
      </c>
      <c r="H141" s="14">
        <v>0</v>
      </c>
      <c r="I141" s="14">
        <v>3.6</v>
      </c>
      <c r="J141" s="21">
        <f>IF('Cleaned Data'!C141 = "East", 1, 0)</f>
        <v>0</v>
      </c>
      <c r="K141" s="21">
        <f>IF('Cleaned Data'!C141 = "West", 1, 0)</f>
        <v>0</v>
      </c>
      <c r="L141" s="21">
        <f>IF('Cleaned Data'!C141 = "North", 1, 0)</f>
        <v>0</v>
      </c>
      <c r="M141" s="21">
        <f>IF('Cleaned Data'!D141 = "Airport", 1, 0)</f>
        <v>0</v>
      </c>
      <c r="N141" s="21">
        <f>IF('Cleaned Data'!D141 = "High Street", 1,0)</f>
        <v>0</v>
      </c>
      <c r="O141" s="21">
        <f>IF('Cleaned Data'!D141 = "Mall", 1,0)</f>
        <v>0</v>
      </c>
    </row>
    <row r="142" spans="1:15">
      <c r="A142" s="13">
        <v>715890.53</v>
      </c>
      <c r="B142" s="14">
        <v>51430.31</v>
      </c>
      <c r="C142" s="14">
        <v>6427</v>
      </c>
      <c r="D142" s="14">
        <v>0.23400000000000001</v>
      </c>
      <c r="E142" s="14">
        <v>14</v>
      </c>
      <c r="F142" s="14">
        <v>88.8</v>
      </c>
      <c r="G142" s="14">
        <v>0.77</v>
      </c>
      <c r="H142" s="14">
        <v>0</v>
      </c>
      <c r="I142" s="14">
        <v>4.0999999999999996</v>
      </c>
      <c r="J142" s="21">
        <f>IF('Cleaned Data'!C142 = "East", 1, 0)</f>
        <v>0</v>
      </c>
      <c r="K142" s="21">
        <f>IF('Cleaned Data'!C142 = "West", 1, 0)</f>
        <v>1</v>
      </c>
      <c r="L142" s="21">
        <f>IF('Cleaned Data'!C142 = "North", 1, 0)</f>
        <v>0</v>
      </c>
      <c r="M142" s="21">
        <f>IF('Cleaned Data'!D142 = "Airport", 1, 0)</f>
        <v>0</v>
      </c>
      <c r="N142" s="21">
        <f>IF('Cleaned Data'!D142 = "High Street", 1,0)</f>
        <v>1</v>
      </c>
      <c r="O142" s="21">
        <f>IF('Cleaned Data'!D142 = "Mall", 1,0)</f>
        <v>0</v>
      </c>
    </row>
    <row r="143" spans="1:15">
      <c r="A143" s="13">
        <v>715097.57</v>
      </c>
      <c r="B143" s="14">
        <v>45706.49</v>
      </c>
      <c r="C143" s="14">
        <v>6704</v>
      </c>
      <c r="D143" s="14">
        <v>3.7999999999999999E-2</v>
      </c>
      <c r="E143" s="14">
        <v>15</v>
      </c>
      <c r="F143" s="14">
        <v>94.2</v>
      </c>
      <c r="G143" s="14">
        <v>2.92</v>
      </c>
      <c r="H143" s="14">
        <v>0</v>
      </c>
      <c r="I143" s="14">
        <v>4.2</v>
      </c>
      <c r="J143" s="21">
        <f>IF('Cleaned Data'!C143 = "East", 1, 0)</f>
        <v>0</v>
      </c>
      <c r="K143" s="21">
        <f>IF('Cleaned Data'!C143 = "West", 1, 0)</f>
        <v>1</v>
      </c>
      <c r="L143" s="21">
        <f>IF('Cleaned Data'!C143 = "North", 1, 0)</f>
        <v>0</v>
      </c>
      <c r="M143" s="21">
        <f>IF('Cleaned Data'!D143 = "Airport", 1, 0)</f>
        <v>0</v>
      </c>
      <c r="N143" s="21">
        <f>IF('Cleaned Data'!D143 = "High Street", 1,0)</f>
        <v>1</v>
      </c>
      <c r="O143" s="21">
        <f>IF('Cleaned Data'!D143 = "Mall", 1,0)</f>
        <v>0</v>
      </c>
    </row>
    <row r="144" spans="1:15">
      <c r="A144" s="13">
        <v>682639.28</v>
      </c>
      <c r="B144" s="14">
        <v>44034.6</v>
      </c>
      <c r="C144" s="14">
        <v>5645</v>
      </c>
      <c r="D144" s="14">
        <v>6.9000000000000006E-2</v>
      </c>
      <c r="E144" s="14">
        <v>18</v>
      </c>
      <c r="F144" s="14">
        <v>88.5</v>
      </c>
      <c r="G144" s="14">
        <v>3.07</v>
      </c>
      <c r="H144" s="14">
        <v>0</v>
      </c>
      <c r="I144" s="14">
        <v>3.8</v>
      </c>
      <c r="J144" s="21">
        <f>IF('Cleaned Data'!C144 = "East", 1, 0)</f>
        <v>0</v>
      </c>
      <c r="K144" s="21">
        <f>IF('Cleaned Data'!C144 = "West", 1, 0)</f>
        <v>1</v>
      </c>
      <c r="L144" s="21">
        <f>IF('Cleaned Data'!C144 = "North", 1, 0)</f>
        <v>0</v>
      </c>
      <c r="M144" s="21">
        <f>IF('Cleaned Data'!D144 = "Airport", 1, 0)</f>
        <v>0</v>
      </c>
      <c r="N144" s="21">
        <f>IF('Cleaned Data'!D144 = "High Street", 1,0)</f>
        <v>1</v>
      </c>
      <c r="O144" s="21">
        <f>IF('Cleaned Data'!D144 = "Mall", 1,0)</f>
        <v>0</v>
      </c>
    </row>
    <row r="145" spans="1:15">
      <c r="A145" s="13">
        <v>695098.51</v>
      </c>
      <c r="B145" s="14">
        <v>50198.12</v>
      </c>
      <c r="C145" s="14">
        <v>6089</v>
      </c>
      <c r="D145" s="14">
        <v>0.182</v>
      </c>
      <c r="E145" s="14">
        <v>19</v>
      </c>
      <c r="F145" s="14">
        <v>94</v>
      </c>
      <c r="G145" s="14">
        <v>9.6999999999999993</v>
      </c>
      <c r="H145" s="14">
        <v>0</v>
      </c>
      <c r="I145" s="14">
        <v>3.9</v>
      </c>
      <c r="J145" s="21">
        <f>IF('Cleaned Data'!C145 = "East", 1, 0)</f>
        <v>0</v>
      </c>
      <c r="K145" s="21">
        <f>IF('Cleaned Data'!C145 = "West", 1, 0)</f>
        <v>1</v>
      </c>
      <c r="L145" s="21">
        <f>IF('Cleaned Data'!C145 = "North", 1, 0)</f>
        <v>0</v>
      </c>
      <c r="M145" s="21">
        <f>IF('Cleaned Data'!D145 = "Airport", 1, 0)</f>
        <v>0</v>
      </c>
      <c r="N145" s="21">
        <f>IF('Cleaned Data'!D145 = "High Street", 1,0)</f>
        <v>1</v>
      </c>
      <c r="O145" s="21">
        <f>IF('Cleaned Data'!D145 = "Mall", 1,0)</f>
        <v>0</v>
      </c>
    </row>
    <row r="146" spans="1:15">
      <c r="A146" s="13">
        <v>577732.56999999995</v>
      </c>
      <c r="B146" s="14">
        <v>70488.2</v>
      </c>
      <c r="C146" s="14">
        <v>4312</v>
      </c>
      <c r="D146" s="14">
        <v>0.16900000000000001</v>
      </c>
      <c r="E146" s="14">
        <v>12</v>
      </c>
      <c r="F146" s="14">
        <v>90.2</v>
      </c>
      <c r="G146" s="14">
        <v>3.71</v>
      </c>
      <c r="H146" s="14">
        <v>0</v>
      </c>
      <c r="I146" s="14">
        <v>3.2</v>
      </c>
      <c r="J146" s="21">
        <f>IF('Cleaned Data'!C146 = "East", 1, 0)</f>
        <v>0</v>
      </c>
      <c r="K146" s="21">
        <f>IF('Cleaned Data'!C146 = "West", 1, 0)</f>
        <v>0</v>
      </c>
      <c r="L146" s="21">
        <f>IF('Cleaned Data'!C146 = "North", 1, 0)</f>
        <v>1</v>
      </c>
      <c r="M146" s="21">
        <f>IF('Cleaned Data'!D146 = "Airport", 1, 0)</f>
        <v>0</v>
      </c>
      <c r="N146" s="21">
        <f>IF('Cleaned Data'!D146 = "High Street", 1,0)</f>
        <v>0</v>
      </c>
      <c r="O146" s="21">
        <f>IF('Cleaned Data'!D146 = "Mall", 1,0)</f>
        <v>0</v>
      </c>
    </row>
    <row r="147" spans="1:15">
      <c r="A147" s="13">
        <v>537058.32999999996</v>
      </c>
      <c r="B147" s="14">
        <v>50909.27</v>
      </c>
      <c r="C147" s="14">
        <v>3152</v>
      </c>
      <c r="D147" s="14">
        <v>0.06</v>
      </c>
      <c r="E147" s="14">
        <v>13</v>
      </c>
      <c r="F147" s="14">
        <v>93.7</v>
      </c>
      <c r="G147" s="14">
        <v>10.79</v>
      </c>
      <c r="H147" s="14">
        <v>0</v>
      </c>
      <c r="I147" s="14">
        <v>3.5</v>
      </c>
      <c r="J147" s="21">
        <f>IF('Cleaned Data'!C147 = "East", 1, 0)</f>
        <v>0</v>
      </c>
      <c r="K147" s="21">
        <f>IF('Cleaned Data'!C147 = "West", 1, 0)</f>
        <v>0</v>
      </c>
      <c r="L147" s="21">
        <f>IF('Cleaned Data'!C147 = "North", 1, 0)</f>
        <v>1</v>
      </c>
      <c r="M147" s="21">
        <f>IF('Cleaned Data'!D147 = "Airport", 1, 0)</f>
        <v>0</v>
      </c>
      <c r="N147" s="21">
        <f>IF('Cleaned Data'!D147 = "High Street", 1,0)</f>
        <v>0</v>
      </c>
      <c r="O147" s="21">
        <f>IF('Cleaned Data'!D147 = "Mall", 1,0)</f>
        <v>0</v>
      </c>
    </row>
    <row r="148" spans="1:15">
      <c r="A148" s="13">
        <v>601568.87</v>
      </c>
      <c r="B148" s="14">
        <v>53351.7</v>
      </c>
      <c r="C148" s="14">
        <v>4259</v>
      </c>
      <c r="D148" s="14">
        <v>0.156</v>
      </c>
      <c r="E148" s="14">
        <v>15</v>
      </c>
      <c r="F148" s="14">
        <v>93.7</v>
      </c>
      <c r="G148" s="14">
        <v>6.03</v>
      </c>
      <c r="H148" s="14">
        <v>0</v>
      </c>
      <c r="I148" s="14">
        <v>3.4</v>
      </c>
      <c r="J148" s="21">
        <f>IF('Cleaned Data'!C148 = "East", 1, 0)</f>
        <v>0</v>
      </c>
      <c r="K148" s="21">
        <f>IF('Cleaned Data'!C148 = "West", 1, 0)</f>
        <v>0</v>
      </c>
      <c r="L148" s="21">
        <f>IF('Cleaned Data'!C148 = "North", 1, 0)</f>
        <v>1</v>
      </c>
      <c r="M148" s="21">
        <f>IF('Cleaned Data'!D148 = "Airport", 1, 0)</f>
        <v>0</v>
      </c>
      <c r="N148" s="21">
        <f>IF('Cleaned Data'!D148 = "High Street", 1,0)</f>
        <v>0</v>
      </c>
      <c r="O148" s="21">
        <f>IF('Cleaned Data'!D148 = "Mall", 1,0)</f>
        <v>0</v>
      </c>
    </row>
    <row r="149" spans="1:15">
      <c r="A149" s="13">
        <v>570964.84</v>
      </c>
      <c r="B149" s="14">
        <v>60322.400000000001</v>
      </c>
      <c r="C149" s="14">
        <v>3350</v>
      </c>
      <c r="D149" s="14">
        <v>0.108</v>
      </c>
      <c r="E149" s="14">
        <v>12</v>
      </c>
      <c r="F149" s="14">
        <v>89.4</v>
      </c>
      <c r="G149" s="14">
        <v>4.92</v>
      </c>
      <c r="H149" s="14">
        <v>0</v>
      </c>
      <c r="I149" s="14">
        <v>3.4</v>
      </c>
      <c r="J149" s="21">
        <f>IF('Cleaned Data'!C149 = "East", 1, 0)</f>
        <v>0</v>
      </c>
      <c r="K149" s="21">
        <f>IF('Cleaned Data'!C149 = "West", 1, 0)</f>
        <v>0</v>
      </c>
      <c r="L149" s="21">
        <f>IF('Cleaned Data'!C149 = "North", 1, 0)</f>
        <v>1</v>
      </c>
      <c r="M149" s="21">
        <f>IF('Cleaned Data'!D149 = "Airport", 1, 0)</f>
        <v>0</v>
      </c>
      <c r="N149" s="21">
        <f>IF('Cleaned Data'!D149 = "High Street", 1,0)</f>
        <v>0</v>
      </c>
      <c r="O149" s="21">
        <f>IF('Cleaned Data'!D149 = "Mall", 1,0)</f>
        <v>0</v>
      </c>
    </row>
    <row r="150" spans="1:15">
      <c r="A150" s="13">
        <v>614024.91</v>
      </c>
      <c r="B150" s="14">
        <v>51575.68</v>
      </c>
      <c r="C150" s="14">
        <v>5329</v>
      </c>
      <c r="D150" s="14">
        <v>4.7E-2</v>
      </c>
      <c r="E150" s="14">
        <v>17</v>
      </c>
      <c r="F150" s="14">
        <v>88.1</v>
      </c>
      <c r="G150" s="14">
        <v>19.78</v>
      </c>
      <c r="H150" s="14">
        <v>0</v>
      </c>
      <c r="I150" s="14">
        <v>3.8</v>
      </c>
      <c r="J150" s="21">
        <f>IF('Cleaned Data'!C150 = "East", 1, 0)</f>
        <v>0</v>
      </c>
      <c r="K150" s="21">
        <f>IF('Cleaned Data'!C150 = "West", 1, 0)</f>
        <v>0</v>
      </c>
      <c r="L150" s="21">
        <f>IF('Cleaned Data'!C150 = "North", 1, 0)</f>
        <v>0</v>
      </c>
      <c r="M150" s="21">
        <f>IF('Cleaned Data'!D150 = "Airport", 1, 0)</f>
        <v>0</v>
      </c>
      <c r="N150" s="21">
        <f>IF('Cleaned Data'!D150 = "High Street", 1,0)</f>
        <v>0</v>
      </c>
      <c r="O150" s="21">
        <f>IF('Cleaned Data'!D150 = "Mall", 1,0)</f>
        <v>1</v>
      </c>
    </row>
    <row r="151" spans="1:15">
      <c r="A151" s="13">
        <v>712868.35</v>
      </c>
      <c r="B151" s="14">
        <v>43319.94</v>
      </c>
      <c r="C151" s="14">
        <v>6551</v>
      </c>
      <c r="D151" s="14">
        <v>4.3999999999999997E-2</v>
      </c>
      <c r="E151" s="14">
        <v>13</v>
      </c>
      <c r="F151" s="14">
        <v>99</v>
      </c>
      <c r="G151" s="14">
        <v>5.45</v>
      </c>
      <c r="H151" s="14">
        <v>0</v>
      </c>
      <c r="I151" s="14">
        <v>4.0999999999999996</v>
      </c>
      <c r="J151" s="21">
        <f>IF('Cleaned Data'!C151 = "East", 1, 0)</f>
        <v>0</v>
      </c>
      <c r="K151" s="21">
        <f>IF('Cleaned Data'!C151 = "West", 1, 0)</f>
        <v>0</v>
      </c>
      <c r="L151" s="21">
        <f>IF('Cleaned Data'!C151 = "North", 1, 0)</f>
        <v>0</v>
      </c>
      <c r="M151" s="21">
        <f>IF('Cleaned Data'!D151 = "Airport", 1, 0)</f>
        <v>0</v>
      </c>
      <c r="N151" s="21">
        <f>IF('Cleaned Data'!D151 = "High Street", 1,0)</f>
        <v>0</v>
      </c>
      <c r="O151" s="21">
        <f>IF('Cleaned Data'!D151 = "Mall", 1,0)</f>
        <v>1</v>
      </c>
    </row>
    <row r="152" spans="1:15">
      <c r="A152" s="13">
        <v>696744.15</v>
      </c>
      <c r="B152" s="14">
        <v>47093.55</v>
      </c>
      <c r="C152" s="14">
        <v>5550</v>
      </c>
      <c r="D152" s="14">
        <v>0.1</v>
      </c>
      <c r="E152" s="14">
        <v>12</v>
      </c>
      <c r="F152" s="14">
        <v>95</v>
      </c>
      <c r="G152" s="14">
        <v>2.33</v>
      </c>
      <c r="H152" s="14">
        <v>1</v>
      </c>
      <c r="I152" s="14">
        <v>3.7</v>
      </c>
      <c r="J152" s="21">
        <f>IF('Cleaned Data'!C152 = "East", 1, 0)</f>
        <v>0</v>
      </c>
      <c r="K152" s="21">
        <f>IF('Cleaned Data'!C152 = "West", 1, 0)</f>
        <v>0</v>
      </c>
      <c r="L152" s="21">
        <f>IF('Cleaned Data'!C152 = "North", 1, 0)</f>
        <v>0</v>
      </c>
      <c r="M152" s="21">
        <f>IF('Cleaned Data'!D152 = "Airport", 1, 0)</f>
        <v>0</v>
      </c>
      <c r="N152" s="21">
        <f>IF('Cleaned Data'!D152 = "High Street", 1,0)</f>
        <v>0</v>
      </c>
      <c r="O152" s="21">
        <f>IF('Cleaned Data'!D152 = "Mall", 1,0)</f>
        <v>1</v>
      </c>
    </row>
    <row r="153" spans="1:15">
      <c r="A153" s="13">
        <v>725847.99</v>
      </c>
      <c r="B153" s="14">
        <v>71855.09</v>
      </c>
      <c r="C153" s="14">
        <v>5911</v>
      </c>
      <c r="D153" s="14">
        <v>0.19700000000000001</v>
      </c>
      <c r="E153" s="14">
        <v>15</v>
      </c>
      <c r="F153" s="14">
        <v>94.3</v>
      </c>
      <c r="G153" s="14">
        <v>3.55</v>
      </c>
      <c r="H153" s="14">
        <v>0</v>
      </c>
      <c r="I153" s="14">
        <v>4.0999999999999996</v>
      </c>
      <c r="J153" s="21">
        <f>IF('Cleaned Data'!C153 = "East", 1, 0)</f>
        <v>0</v>
      </c>
      <c r="K153" s="21">
        <f>IF('Cleaned Data'!C153 = "West", 1, 0)</f>
        <v>0</v>
      </c>
      <c r="L153" s="21">
        <f>IF('Cleaned Data'!C153 = "North", 1, 0)</f>
        <v>0</v>
      </c>
      <c r="M153" s="21">
        <f>IF('Cleaned Data'!D153 = "Airport", 1, 0)</f>
        <v>0</v>
      </c>
      <c r="N153" s="21">
        <f>IF('Cleaned Data'!D153 = "High Street", 1,0)</f>
        <v>0</v>
      </c>
      <c r="O153" s="21">
        <f>IF('Cleaned Data'!D153 = "Mall", 1,0)</f>
        <v>1</v>
      </c>
    </row>
    <row r="154" spans="1:15">
      <c r="A154" s="13">
        <v>785028.25</v>
      </c>
      <c r="B154" s="14">
        <v>75645.23</v>
      </c>
      <c r="C154" s="14">
        <v>9674</v>
      </c>
      <c r="D154" s="14">
        <v>0.23400000000000001</v>
      </c>
      <c r="E154" s="14">
        <v>21</v>
      </c>
      <c r="F154" s="14">
        <v>87.4</v>
      </c>
      <c r="G154" s="14">
        <v>0.2</v>
      </c>
      <c r="H154" s="14">
        <v>0</v>
      </c>
      <c r="I154" s="14">
        <v>4.5</v>
      </c>
      <c r="J154" s="21">
        <f>IF('Cleaned Data'!C154 = "East", 1, 0)</f>
        <v>1</v>
      </c>
      <c r="K154" s="21">
        <f>IF('Cleaned Data'!C154 = "West", 1, 0)</f>
        <v>0</v>
      </c>
      <c r="L154" s="21">
        <f>IF('Cleaned Data'!C154 = "North", 1, 0)</f>
        <v>0</v>
      </c>
      <c r="M154" s="21">
        <f>IF('Cleaned Data'!D154 = "Airport", 1, 0)</f>
        <v>0</v>
      </c>
      <c r="N154" s="21">
        <f>IF('Cleaned Data'!D154 = "High Street", 1,0)</f>
        <v>1</v>
      </c>
      <c r="O154" s="21">
        <f>IF('Cleaned Data'!D154 = "Mall", 1,0)</f>
        <v>0</v>
      </c>
    </row>
    <row r="155" spans="1:15">
      <c r="A155" s="13">
        <v>698492.67</v>
      </c>
      <c r="B155" s="14">
        <v>64374.75</v>
      </c>
      <c r="C155" s="14">
        <v>6740</v>
      </c>
      <c r="D155" s="14">
        <v>0.16900000000000001</v>
      </c>
      <c r="E155" s="14">
        <v>18</v>
      </c>
      <c r="F155" s="14">
        <v>87</v>
      </c>
      <c r="G155" s="14">
        <v>2.09</v>
      </c>
      <c r="H155" s="14">
        <v>0</v>
      </c>
      <c r="I155" s="14">
        <v>4.2</v>
      </c>
      <c r="J155" s="21">
        <f>IF('Cleaned Data'!C155 = "East", 1, 0)</f>
        <v>1</v>
      </c>
      <c r="K155" s="21">
        <f>IF('Cleaned Data'!C155 = "West", 1, 0)</f>
        <v>0</v>
      </c>
      <c r="L155" s="21">
        <f>IF('Cleaned Data'!C155 = "North", 1, 0)</f>
        <v>0</v>
      </c>
      <c r="M155" s="21">
        <f>IF('Cleaned Data'!D155 = "Airport", 1, 0)</f>
        <v>0</v>
      </c>
      <c r="N155" s="21">
        <f>IF('Cleaned Data'!D155 = "High Street", 1,0)</f>
        <v>1</v>
      </c>
      <c r="O155" s="21">
        <f>IF('Cleaned Data'!D155 = "Mall", 1,0)</f>
        <v>0</v>
      </c>
    </row>
    <row r="156" spans="1:15">
      <c r="A156" s="13">
        <v>685830.24</v>
      </c>
      <c r="B156" s="14">
        <v>61433.84</v>
      </c>
      <c r="C156" s="14">
        <v>7745</v>
      </c>
      <c r="D156" s="14">
        <v>0.18</v>
      </c>
      <c r="E156" s="14">
        <v>16</v>
      </c>
      <c r="F156" s="14">
        <v>90.5</v>
      </c>
      <c r="G156" s="14">
        <v>2.2599999999999998</v>
      </c>
      <c r="H156" s="14">
        <v>0</v>
      </c>
      <c r="I156" s="14">
        <v>4.2</v>
      </c>
      <c r="J156" s="21">
        <f>IF('Cleaned Data'!C156 = "East", 1, 0)</f>
        <v>1</v>
      </c>
      <c r="K156" s="21">
        <f>IF('Cleaned Data'!C156 = "West", 1, 0)</f>
        <v>0</v>
      </c>
      <c r="L156" s="21">
        <f>IF('Cleaned Data'!C156 = "North", 1, 0)</f>
        <v>0</v>
      </c>
      <c r="M156" s="21">
        <f>IF('Cleaned Data'!D156 = "Airport", 1, 0)</f>
        <v>0</v>
      </c>
      <c r="N156" s="21">
        <f>IF('Cleaned Data'!D156 = "High Street", 1,0)</f>
        <v>1</v>
      </c>
      <c r="O156" s="21">
        <f>IF('Cleaned Data'!D156 = "Mall", 1,0)</f>
        <v>0</v>
      </c>
    </row>
    <row r="157" spans="1:15">
      <c r="A157" s="13">
        <v>702318.94</v>
      </c>
      <c r="B157" s="14">
        <v>42698.14</v>
      </c>
      <c r="C157" s="14">
        <v>7693</v>
      </c>
      <c r="D157" s="14">
        <v>0.187</v>
      </c>
      <c r="E157" s="14">
        <v>19</v>
      </c>
      <c r="F157" s="14">
        <v>90.1</v>
      </c>
      <c r="G157" s="14">
        <v>0.44</v>
      </c>
      <c r="H157" s="14">
        <v>0</v>
      </c>
      <c r="I157" s="14">
        <v>4.4000000000000004</v>
      </c>
      <c r="J157" s="21">
        <f>IF('Cleaned Data'!C157 = "East", 1, 0)</f>
        <v>1</v>
      </c>
      <c r="K157" s="21">
        <f>IF('Cleaned Data'!C157 = "West", 1, 0)</f>
        <v>0</v>
      </c>
      <c r="L157" s="21">
        <f>IF('Cleaned Data'!C157 = "North", 1, 0)</f>
        <v>0</v>
      </c>
      <c r="M157" s="21">
        <f>IF('Cleaned Data'!D157 = "Airport", 1, 0)</f>
        <v>0</v>
      </c>
      <c r="N157" s="21">
        <f>IF('Cleaned Data'!D157 = "High Street", 1,0)</f>
        <v>1</v>
      </c>
      <c r="O157" s="21">
        <f>IF('Cleaned Data'!D157 = "Mall", 1,0)</f>
        <v>0</v>
      </c>
    </row>
    <row r="158" spans="1:15">
      <c r="A158" s="13">
        <v>700078.32</v>
      </c>
      <c r="B158" s="14">
        <v>86883.31</v>
      </c>
      <c r="C158" s="14">
        <v>6424</v>
      </c>
      <c r="D158" s="14">
        <v>5.7000000000000002E-2</v>
      </c>
      <c r="E158" s="14">
        <v>19</v>
      </c>
      <c r="F158" s="14">
        <v>85.2</v>
      </c>
      <c r="G158" s="14">
        <v>3.08</v>
      </c>
      <c r="H158" s="14">
        <v>0</v>
      </c>
      <c r="I158" s="14">
        <v>3.9</v>
      </c>
      <c r="J158" s="21">
        <f>IF('Cleaned Data'!C158 = "East", 1, 0)</f>
        <v>0</v>
      </c>
      <c r="K158" s="21">
        <f>IF('Cleaned Data'!C158 = "West", 1, 0)</f>
        <v>0</v>
      </c>
      <c r="L158" s="21">
        <f>IF('Cleaned Data'!C158 = "North", 1, 0)</f>
        <v>1</v>
      </c>
      <c r="M158" s="21">
        <f>IF('Cleaned Data'!D158 = "Airport", 1, 0)</f>
        <v>0</v>
      </c>
      <c r="N158" s="21">
        <f>IF('Cleaned Data'!D158 = "High Street", 1,0)</f>
        <v>0</v>
      </c>
      <c r="O158" s="21">
        <f>IF('Cleaned Data'!D158 = "Mall", 1,0)</f>
        <v>1</v>
      </c>
    </row>
    <row r="159" spans="1:15">
      <c r="A159" s="13">
        <v>602002.31999999995</v>
      </c>
      <c r="B159" s="14">
        <v>41863.08</v>
      </c>
      <c r="C159" s="14">
        <v>5400</v>
      </c>
      <c r="D159" s="14">
        <v>0.114</v>
      </c>
      <c r="E159" s="14">
        <v>11</v>
      </c>
      <c r="F159" s="14">
        <v>91.6</v>
      </c>
      <c r="G159" s="14">
        <v>7.99</v>
      </c>
      <c r="H159" s="14">
        <v>0</v>
      </c>
      <c r="I159" s="14">
        <v>3</v>
      </c>
      <c r="J159" s="21">
        <f>IF('Cleaned Data'!C159 = "East", 1, 0)</f>
        <v>0</v>
      </c>
      <c r="K159" s="21">
        <f>IF('Cleaned Data'!C159 = "West", 1, 0)</f>
        <v>0</v>
      </c>
      <c r="L159" s="21">
        <f>IF('Cleaned Data'!C159 = "North", 1, 0)</f>
        <v>1</v>
      </c>
      <c r="M159" s="21">
        <f>IF('Cleaned Data'!D159 = "Airport", 1, 0)</f>
        <v>0</v>
      </c>
      <c r="N159" s="21">
        <f>IF('Cleaned Data'!D159 = "High Street", 1,0)</f>
        <v>0</v>
      </c>
      <c r="O159" s="21">
        <f>IF('Cleaned Data'!D159 = "Mall", 1,0)</f>
        <v>1</v>
      </c>
    </row>
    <row r="160" spans="1:15">
      <c r="A160" s="13">
        <v>724216.07</v>
      </c>
      <c r="B160" s="14">
        <v>56918.16</v>
      </c>
      <c r="C160" s="14">
        <v>7015</v>
      </c>
      <c r="D160" s="14">
        <v>0.158</v>
      </c>
      <c r="E160" s="14">
        <v>18</v>
      </c>
      <c r="F160" s="14">
        <v>74.2</v>
      </c>
      <c r="G160" s="14">
        <v>0.2</v>
      </c>
      <c r="H160" s="14">
        <v>0</v>
      </c>
      <c r="I160" s="14">
        <v>3.4</v>
      </c>
      <c r="J160" s="21">
        <f>IF('Cleaned Data'!C160 = "East", 1, 0)</f>
        <v>0</v>
      </c>
      <c r="K160" s="21">
        <f>IF('Cleaned Data'!C160 = "West", 1, 0)</f>
        <v>0</v>
      </c>
      <c r="L160" s="21">
        <f>IF('Cleaned Data'!C160 = "North", 1, 0)</f>
        <v>1</v>
      </c>
      <c r="M160" s="21">
        <f>IF('Cleaned Data'!D160 = "Airport", 1, 0)</f>
        <v>0</v>
      </c>
      <c r="N160" s="21">
        <f>IF('Cleaned Data'!D160 = "High Street", 1,0)</f>
        <v>0</v>
      </c>
      <c r="O160" s="21">
        <f>IF('Cleaned Data'!D160 = "Mall", 1,0)</f>
        <v>1</v>
      </c>
    </row>
    <row r="161" spans="1:15">
      <c r="A161" s="13">
        <v>620973.03</v>
      </c>
      <c r="B161" s="14">
        <v>23254.57</v>
      </c>
      <c r="C161" s="14">
        <v>3847</v>
      </c>
      <c r="D161" s="14">
        <v>0.159</v>
      </c>
      <c r="E161" s="14">
        <v>12</v>
      </c>
      <c r="F161" s="14">
        <v>93</v>
      </c>
      <c r="G161" s="14">
        <v>5.46</v>
      </c>
      <c r="H161" s="14">
        <v>0</v>
      </c>
      <c r="I161" s="14">
        <v>3.3</v>
      </c>
      <c r="J161" s="21">
        <f>IF('Cleaned Data'!C161 = "East", 1, 0)</f>
        <v>0</v>
      </c>
      <c r="K161" s="21">
        <f>IF('Cleaned Data'!C161 = "West", 1, 0)</f>
        <v>0</v>
      </c>
      <c r="L161" s="21">
        <f>IF('Cleaned Data'!C161 = "North", 1, 0)</f>
        <v>1</v>
      </c>
      <c r="M161" s="21">
        <f>IF('Cleaned Data'!D161 = "Airport", 1, 0)</f>
        <v>0</v>
      </c>
      <c r="N161" s="21">
        <f>IF('Cleaned Data'!D161 = "High Street", 1,0)</f>
        <v>0</v>
      </c>
      <c r="O161" s="21">
        <f>IF('Cleaned Data'!D161 = "Mall", 1,0)</f>
        <v>1</v>
      </c>
    </row>
    <row r="162" spans="1:15">
      <c r="A162" s="13">
        <v>650480.06000000006</v>
      </c>
      <c r="B162" s="14">
        <v>41443.410000000003</v>
      </c>
      <c r="C162" s="14">
        <v>7455</v>
      </c>
      <c r="D162" s="14">
        <v>0.17499999999999999</v>
      </c>
      <c r="E162" s="14">
        <v>16</v>
      </c>
      <c r="F162" s="14">
        <v>90.1</v>
      </c>
      <c r="G162" s="14">
        <v>4.05</v>
      </c>
      <c r="H162" s="14">
        <v>0</v>
      </c>
      <c r="I162" s="14">
        <v>4</v>
      </c>
      <c r="J162" s="21">
        <f>IF('Cleaned Data'!C162 = "East", 1, 0)</f>
        <v>0</v>
      </c>
      <c r="K162" s="21">
        <f>IF('Cleaned Data'!C162 = "West", 1, 0)</f>
        <v>0</v>
      </c>
      <c r="L162" s="21">
        <f>IF('Cleaned Data'!C162 = "North", 1, 0)</f>
        <v>0</v>
      </c>
      <c r="M162" s="21">
        <f>IF('Cleaned Data'!D162 = "Airport", 1, 0)</f>
        <v>0</v>
      </c>
      <c r="N162" s="21">
        <f>IF('Cleaned Data'!D162 = "High Street", 1,0)</f>
        <v>1</v>
      </c>
      <c r="O162" s="21">
        <f>IF('Cleaned Data'!D162 = "Mall", 1,0)</f>
        <v>0</v>
      </c>
    </row>
    <row r="163" spans="1:15">
      <c r="A163" s="13">
        <v>778298.88</v>
      </c>
      <c r="B163" s="14">
        <v>48438.85</v>
      </c>
      <c r="C163" s="14">
        <v>6992</v>
      </c>
      <c r="D163" s="14">
        <v>3.4000000000000002E-2</v>
      </c>
      <c r="E163" s="14">
        <v>20</v>
      </c>
      <c r="F163" s="14">
        <v>91</v>
      </c>
      <c r="G163" s="14">
        <v>4.3600000000000003</v>
      </c>
      <c r="H163" s="14">
        <v>0</v>
      </c>
      <c r="I163" s="14">
        <v>4.2</v>
      </c>
      <c r="J163" s="21">
        <f>IF('Cleaned Data'!C163 = "East", 1, 0)</f>
        <v>0</v>
      </c>
      <c r="K163" s="21">
        <f>IF('Cleaned Data'!C163 = "West", 1, 0)</f>
        <v>0</v>
      </c>
      <c r="L163" s="21">
        <f>IF('Cleaned Data'!C163 = "North", 1, 0)</f>
        <v>0</v>
      </c>
      <c r="M163" s="21">
        <f>IF('Cleaned Data'!D163 = "Airport", 1, 0)</f>
        <v>0</v>
      </c>
      <c r="N163" s="21">
        <f>IF('Cleaned Data'!D163 = "High Street", 1,0)</f>
        <v>1</v>
      </c>
      <c r="O163" s="21">
        <f>IF('Cleaned Data'!D163 = "Mall", 1,0)</f>
        <v>0</v>
      </c>
    </row>
    <row r="164" spans="1:15">
      <c r="A164" s="13">
        <v>677096.71</v>
      </c>
      <c r="B164" s="14">
        <v>57143.3</v>
      </c>
      <c r="C164" s="14">
        <v>8038</v>
      </c>
      <c r="D164" s="14">
        <v>0.193</v>
      </c>
      <c r="E164" s="14">
        <v>17</v>
      </c>
      <c r="F164" s="14">
        <v>72.599999999999994</v>
      </c>
      <c r="G164" s="14">
        <v>3.3650000000000002</v>
      </c>
      <c r="H164" s="14">
        <v>0</v>
      </c>
      <c r="I164" s="14">
        <v>4.2</v>
      </c>
      <c r="J164" s="21">
        <f>IF('Cleaned Data'!C164 = "East", 1, 0)</f>
        <v>0</v>
      </c>
      <c r="K164" s="21">
        <f>IF('Cleaned Data'!C164 = "West", 1, 0)</f>
        <v>0</v>
      </c>
      <c r="L164" s="21">
        <f>IF('Cleaned Data'!C164 = "North", 1, 0)</f>
        <v>0</v>
      </c>
      <c r="M164" s="21">
        <f>IF('Cleaned Data'!D164 = "Airport", 1, 0)</f>
        <v>0</v>
      </c>
      <c r="N164" s="21">
        <f>IF('Cleaned Data'!D164 = "High Street", 1,0)</f>
        <v>1</v>
      </c>
      <c r="O164" s="21">
        <f>IF('Cleaned Data'!D164 = "Mall", 1,0)</f>
        <v>0</v>
      </c>
    </row>
    <row r="165" spans="1:15">
      <c r="A165" s="13">
        <v>692008.64</v>
      </c>
      <c r="B165" s="14">
        <v>66870.62</v>
      </c>
      <c r="C165" s="14">
        <v>6055</v>
      </c>
      <c r="D165" s="14">
        <v>7.4999999999999997E-2</v>
      </c>
      <c r="E165" s="14">
        <v>19</v>
      </c>
      <c r="F165" s="14">
        <v>93.8</v>
      </c>
      <c r="G165" s="14">
        <v>0.54</v>
      </c>
      <c r="H165" s="14">
        <v>0</v>
      </c>
      <c r="I165" s="14">
        <v>4.3</v>
      </c>
      <c r="J165" s="21">
        <f>IF('Cleaned Data'!C165 = "East", 1, 0)</f>
        <v>0</v>
      </c>
      <c r="K165" s="21">
        <f>IF('Cleaned Data'!C165 = "West", 1, 0)</f>
        <v>0</v>
      </c>
      <c r="L165" s="21">
        <f>IF('Cleaned Data'!C165 = "North", 1, 0)</f>
        <v>0</v>
      </c>
      <c r="M165" s="21">
        <f>IF('Cleaned Data'!D165 = "Airport", 1, 0)</f>
        <v>0</v>
      </c>
      <c r="N165" s="21">
        <f>IF('Cleaned Data'!D165 = "High Street", 1,0)</f>
        <v>1</v>
      </c>
      <c r="O165" s="21">
        <f>IF('Cleaned Data'!D165 = "Mall", 1,0)</f>
        <v>0</v>
      </c>
    </row>
    <row r="166" spans="1:15">
      <c r="A166" s="13">
        <v>825797.91</v>
      </c>
      <c r="B166" s="14">
        <v>72150.53</v>
      </c>
      <c r="C166" s="14">
        <v>9323</v>
      </c>
      <c r="D166" s="14">
        <v>0.157</v>
      </c>
      <c r="E166" s="14">
        <v>22</v>
      </c>
      <c r="F166" s="14">
        <v>82.9</v>
      </c>
      <c r="G166" s="14">
        <v>11.37</v>
      </c>
      <c r="H166" s="14">
        <v>1</v>
      </c>
      <c r="I166" s="14">
        <v>4.3</v>
      </c>
      <c r="J166" s="21">
        <f>IF('Cleaned Data'!C166 = "East", 1, 0)</f>
        <v>0</v>
      </c>
      <c r="K166" s="21">
        <f>IF('Cleaned Data'!C166 = "West", 1, 0)</f>
        <v>0</v>
      </c>
      <c r="L166" s="21">
        <f>IF('Cleaned Data'!C166 = "North", 1, 0)</f>
        <v>1</v>
      </c>
      <c r="M166" s="21">
        <f>IF('Cleaned Data'!D166 = "Airport", 1, 0)</f>
        <v>0</v>
      </c>
      <c r="N166" s="21">
        <f>IF('Cleaned Data'!D166 = "High Street", 1,0)</f>
        <v>0</v>
      </c>
      <c r="O166" s="21">
        <f>IF('Cleaned Data'!D166 = "Mall", 1,0)</f>
        <v>1</v>
      </c>
    </row>
    <row r="167" spans="1:15">
      <c r="A167" s="13">
        <v>706285.52</v>
      </c>
      <c r="B167" s="14">
        <v>35303.300000000003</v>
      </c>
      <c r="C167" s="14">
        <v>8789</v>
      </c>
      <c r="D167" s="14">
        <v>0.123</v>
      </c>
      <c r="E167" s="14">
        <v>22</v>
      </c>
      <c r="F167" s="14">
        <v>86.1</v>
      </c>
      <c r="G167" s="14">
        <v>9.43</v>
      </c>
      <c r="H167" s="14">
        <v>0</v>
      </c>
      <c r="I167" s="14">
        <v>4.2</v>
      </c>
      <c r="J167" s="21">
        <f>IF('Cleaned Data'!C167 = "East", 1, 0)</f>
        <v>0</v>
      </c>
      <c r="K167" s="21">
        <f>IF('Cleaned Data'!C167 = "West", 1, 0)</f>
        <v>0</v>
      </c>
      <c r="L167" s="21">
        <f>IF('Cleaned Data'!C167 = "North", 1, 0)</f>
        <v>1</v>
      </c>
      <c r="M167" s="21">
        <f>IF('Cleaned Data'!D167 = "Airport", 1, 0)</f>
        <v>0</v>
      </c>
      <c r="N167" s="21">
        <f>IF('Cleaned Data'!D167 = "High Street", 1,0)</f>
        <v>0</v>
      </c>
      <c r="O167" s="21">
        <f>IF('Cleaned Data'!D167 = "Mall", 1,0)</f>
        <v>1</v>
      </c>
    </row>
    <row r="168" spans="1:15">
      <c r="A168" s="13">
        <v>665534.69999999995</v>
      </c>
      <c r="B168" s="14">
        <v>30301.86</v>
      </c>
      <c r="C168" s="14">
        <v>6939</v>
      </c>
      <c r="D168" s="14">
        <v>0.09</v>
      </c>
      <c r="E168" s="14">
        <v>16</v>
      </c>
      <c r="F168" s="14">
        <v>90.3</v>
      </c>
      <c r="G168" s="14">
        <v>3.49</v>
      </c>
      <c r="H168" s="14">
        <v>0</v>
      </c>
      <c r="I168" s="14">
        <v>4</v>
      </c>
      <c r="J168" s="21">
        <f>IF('Cleaned Data'!C168 = "East", 1, 0)</f>
        <v>0</v>
      </c>
      <c r="K168" s="21">
        <f>IF('Cleaned Data'!C168 = "West", 1, 0)</f>
        <v>0</v>
      </c>
      <c r="L168" s="21">
        <f>IF('Cleaned Data'!C168 = "North", 1, 0)</f>
        <v>1</v>
      </c>
      <c r="M168" s="21">
        <f>IF('Cleaned Data'!D168 = "Airport", 1, 0)</f>
        <v>0</v>
      </c>
      <c r="N168" s="21">
        <f>IF('Cleaned Data'!D168 = "High Street", 1,0)</f>
        <v>0</v>
      </c>
      <c r="O168" s="21">
        <f>IF('Cleaned Data'!D168 = "Mall", 1,0)</f>
        <v>1</v>
      </c>
    </row>
    <row r="169" spans="1:15">
      <c r="A169" s="13">
        <v>820729.29</v>
      </c>
      <c r="B169" s="14">
        <v>78432.14</v>
      </c>
      <c r="C169" s="14">
        <v>9440</v>
      </c>
      <c r="D169" s="14">
        <v>0.126</v>
      </c>
      <c r="E169" s="14">
        <v>23</v>
      </c>
      <c r="F169" s="14">
        <v>89.2</v>
      </c>
      <c r="G169" s="14">
        <v>7.86</v>
      </c>
      <c r="H169" s="14">
        <v>0</v>
      </c>
      <c r="I169" s="14">
        <v>4.0999999999999996</v>
      </c>
      <c r="J169" s="21">
        <f>IF('Cleaned Data'!C169 = "East", 1, 0)</f>
        <v>0</v>
      </c>
      <c r="K169" s="21">
        <f>IF('Cleaned Data'!C169 = "West", 1, 0)</f>
        <v>0</v>
      </c>
      <c r="L169" s="21">
        <f>IF('Cleaned Data'!C169 = "North", 1, 0)</f>
        <v>1</v>
      </c>
      <c r="M169" s="21">
        <f>IF('Cleaned Data'!D169 = "Airport", 1, 0)</f>
        <v>0</v>
      </c>
      <c r="N169" s="21">
        <f>IF('Cleaned Data'!D169 = "High Street", 1,0)</f>
        <v>0</v>
      </c>
      <c r="O169" s="21">
        <f>IF('Cleaned Data'!D169 = "Mall", 1,0)</f>
        <v>1</v>
      </c>
    </row>
    <row r="170" spans="1:15">
      <c r="A170" s="13">
        <v>739831.73</v>
      </c>
      <c r="B170" s="14">
        <v>62059.18</v>
      </c>
      <c r="C170" s="14">
        <v>9374</v>
      </c>
      <c r="D170" s="14">
        <v>0.13600000000000001</v>
      </c>
      <c r="E170" s="14">
        <v>25</v>
      </c>
      <c r="F170" s="14">
        <v>87.1</v>
      </c>
      <c r="G170" s="14">
        <v>12.55</v>
      </c>
      <c r="H170" s="14">
        <v>0</v>
      </c>
      <c r="I170" s="14">
        <v>4.9000000000000004</v>
      </c>
      <c r="J170" s="21">
        <f>IF('Cleaned Data'!C170 = "East", 1, 0)</f>
        <v>1</v>
      </c>
      <c r="K170" s="21">
        <f>IF('Cleaned Data'!C170 = "West", 1, 0)</f>
        <v>0</v>
      </c>
      <c r="L170" s="21">
        <f>IF('Cleaned Data'!C170 = "North", 1, 0)</f>
        <v>0</v>
      </c>
      <c r="M170" s="21">
        <f>IF('Cleaned Data'!D170 = "Airport", 1, 0)</f>
        <v>0</v>
      </c>
      <c r="N170" s="21">
        <f>IF('Cleaned Data'!D170 = "High Street", 1,0)</f>
        <v>0</v>
      </c>
      <c r="O170" s="21">
        <f>IF('Cleaned Data'!D170 = "Mall", 1,0)</f>
        <v>0</v>
      </c>
    </row>
    <row r="171" spans="1:15">
      <c r="A171" s="13">
        <v>593637.14</v>
      </c>
      <c r="B171" s="14">
        <v>32834.480000000003</v>
      </c>
      <c r="C171" s="14">
        <v>7576</v>
      </c>
      <c r="D171" s="14">
        <v>9.9000000000000005E-2</v>
      </c>
      <c r="E171" s="14">
        <v>15</v>
      </c>
      <c r="F171" s="14">
        <v>84.1</v>
      </c>
      <c r="G171" s="14">
        <v>3.48</v>
      </c>
      <c r="H171" s="14">
        <v>0</v>
      </c>
      <c r="I171" s="14">
        <v>5</v>
      </c>
      <c r="J171" s="21">
        <f>IF('Cleaned Data'!C171 = "East", 1, 0)</f>
        <v>1</v>
      </c>
      <c r="K171" s="21">
        <f>IF('Cleaned Data'!C171 = "West", 1, 0)</f>
        <v>0</v>
      </c>
      <c r="L171" s="21">
        <f>IF('Cleaned Data'!C171 = "North", 1, 0)</f>
        <v>0</v>
      </c>
      <c r="M171" s="21">
        <f>IF('Cleaned Data'!D171 = "Airport", 1, 0)</f>
        <v>0</v>
      </c>
      <c r="N171" s="21">
        <f>IF('Cleaned Data'!D171 = "High Street", 1,0)</f>
        <v>0</v>
      </c>
      <c r="O171" s="21">
        <f>IF('Cleaned Data'!D171 = "Mall", 1,0)</f>
        <v>0</v>
      </c>
    </row>
    <row r="172" spans="1:15">
      <c r="A172" s="13">
        <v>769702.76</v>
      </c>
      <c r="B172" s="14">
        <v>50825.08</v>
      </c>
      <c r="C172" s="14">
        <v>8949</v>
      </c>
      <c r="D172" s="14">
        <v>0.157</v>
      </c>
      <c r="E172" s="14">
        <v>21</v>
      </c>
      <c r="F172" s="14">
        <v>84.7</v>
      </c>
      <c r="G172" s="14">
        <v>7.73</v>
      </c>
      <c r="H172" s="14">
        <v>0</v>
      </c>
      <c r="I172" s="14">
        <v>4.9000000000000004</v>
      </c>
      <c r="J172" s="21">
        <f>IF('Cleaned Data'!C172 = "East", 1, 0)</f>
        <v>1</v>
      </c>
      <c r="K172" s="21">
        <f>IF('Cleaned Data'!C172 = "West", 1, 0)</f>
        <v>0</v>
      </c>
      <c r="L172" s="21">
        <f>IF('Cleaned Data'!C172 = "North", 1, 0)</f>
        <v>0</v>
      </c>
      <c r="M172" s="21">
        <f>IF('Cleaned Data'!D172 = "Airport", 1, 0)</f>
        <v>0</v>
      </c>
      <c r="N172" s="21">
        <f>IF('Cleaned Data'!D172 = "High Street", 1,0)</f>
        <v>0</v>
      </c>
      <c r="O172" s="21">
        <f>IF('Cleaned Data'!D172 = "Mall", 1,0)</f>
        <v>0</v>
      </c>
    </row>
    <row r="173" spans="1:15">
      <c r="A173" s="13">
        <v>679731.57</v>
      </c>
      <c r="B173" s="14">
        <v>36606.51</v>
      </c>
      <c r="C173" s="14">
        <v>7671</v>
      </c>
      <c r="D173" s="14">
        <v>0.11799999999999999</v>
      </c>
      <c r="E173" s="14">
        <v>18</v>
      </c>
      <c r="F173" s="14">
        <v>89.8</v>
      </c>
      <c r="G173" s="14">
        <v>0.25</v>
      </c>
      <c r="H173" s="14">
        <v>0</v>
      </c>
      <c r="I173" s="14">
        <v>4.4000000000000004</v>
      </c>
      <c r="J173" s="21">
        <f>IF('Cleaned Data'!C173 = "East", 1, 0)</f>
        <v>1</v>
      </c>
      <c r="K173" s="21">
        <f>IF('Cleaned Data'!C173 = "West", 1, 0)</f>
        <v>0</v>
      </c>
      <c r="L173" s="21">
        <f>IF('Cleaned Data'!C173 = "North", 1, 0)</f>
        <v>0</v>
      </c>
      <c r="M173" s="21">
        <f>IF('Cleaned Data'!D173 = "Airport", 1, 0)</f>
        <v>0</v>
      </c>
      <c r="N173" s="21">
        <f>IF('Cleaned Data'!D173 = "High Street", 1,0)</f>
        <v>0</v>
      </c>
      <c r="O173" s="21">
        <f>IF('Cleaned Data'!D173 = "Mall", 1,0)</f>
        <v>0</v>
      </c>
    </row>
    <row r="174" spans="1:15">
      <c r="A174" s="13">
        <v>780344.18</v>
      </c>
      <c r="B174" s="14">
        <v>65237.79</v>
      </c>
      <c r="C174" s="14">
        <v>8741</v>
      </c>
      <c r="D174" s="14">
        <v>0.157</v>
      </c>
      <c r="E174" s="14">
        <v>20</v>
      </c>
      <c r="F174" s="14">
        <v>94.4</v>
      </c>
      <c r="G174" s="14">
        <v>6.43</v>
      </c>
      <c r="H174" s="14">
        <v>0</v>
      </c>
      <c r="I174" s="14">
        <v>3.3</v>
      </c>
      <c r="J174" s="21">
        <f>IF('Cleaned Data'!C174 = "East", 1, 0)</f>
        <v>1</v>
      </c>
      <c r="K174" s="21">
        <f>IF('Cleaned Data'!C174 = "West", 1, 0)</f>
        <v>0</v>
      </c>
      <c r="L174" s="21">
        <f>IF('Cleaned Data'!C174 = "North", 1, 0)</f>
        <v>0</v>
      </c>
      <c r="M174" s="21">
        <f>IF('Cleaned Data'!D174 = "Airport", 1, 0)</f>
        <v>0</v>
      </c>
      <c r="N174" s="21">
        <f>IF('Cleaned Data'!D174 = "High Street", 1,0)</f>
        <v>0</v>
      </c>
      <c r="O174" s="21">
        <f>IF('Cleaned Data'!D174 = "Mall", 1,0)</f>
        <v>0</v>
      </c>
    </row>
    <row r="175" spans="1:15">
      <c r="A175" s="13">
        <v>721364.11</v>
      </c>
      <c r="B175" s="14">
        <v>43645.98</v>
      </c>
      <c r="C175" s="14">
        <v>9480</v>
      </c>
      <c r="D175" s="14">
        <v>0.109</v>
      </c>
      <c r="E175" s="14">
        <v>22</v>
      </c>
      <c r="F175" s="14">
        <v>89</v>
      </c>
      <c r="G175" s="14">
        <v>2.11</v>
      </c>
      <c r="H175" s="14">
        <v>0</v>
      </c>
      <c r="I175" s="14">
        <v>3.1</v>
      </c>
      <c r="J175" s="21">
        <f>IF('Cleaned Data'!C175 = "East", 1, 0)</f>
        <v>1</v>
      </c>
      <c r="K175" s="21">
        <f>IF('Cleaned Data'!C175 = "West", 1, 0)</f>
        <v>0</v>
      </c>
      <c r="L175" s="21">
        <f>IF('Cleaned Data'!C175 = "North", 1, 0)</f>
        <v>0</v>
      </c>
      <c r="M175" s="21">
        <f>IF('Cleaned Data'!D175 = "Airport", 1, 0)</f>
        <v>0</v>
      </c>
      <c r="N175" s="21">
        <f>IF('Cleaned Data'!D175 = "High Street", 1,0)</f>
        <v>0</v>
      </c>
      <c r="O175" s="21">
        <f>IF('Cleaned Data'!D175 = "Mall", 1,0)</f>
        <v>0</v>
      </c>
    </row>
    <row r="176" spans="1:15">
      <c r="A176" s="13">
        <v>758138.29</v>
      </c>
      <c r="B176" s="14">
        <v>68040.149999999994</v>
      </c>
      <c r="C176" s="14">
        <v>9826</v>
      </c>
      <c r="D176" s="14">
        <v>0.125</v>
      </c>
      <c r="E176" s="14">
        <v>20</v>
      </c>
      <c r="F176" s="14">
        <v>83.9</v>
      </c>
      <c r="G176" s="14">
        <v>9.1199999999999992</v>
      </c>
      <c r="H176" s="14">
        <v>0</v>
      </c>
      <c r="I176" s="14">
        <v>3.6</v>
      </c>
      <c r="J176" s="21">
        <f>IF('Cleaned Data'!C176 = "East", 1, 0)</f>
        <v>1</v>
      </c>
      <c r="K176" s="21">
        <f>IF('Cleaned Data'!C176 = "West", 1, 0)</f>
        <v>0</v>
      </c>
      <c r="L176" s="21">
        <f>IF('Cleaned Data'!C176 = "North", 1, 0)</f>
        <v>0</v>
      </c>
      <c r="M176" s="21">
        <f>IF('Cleaned Data'!D176 = "Airport", 1, 0)</f>
        <v>0</v>
      </c>
      <c r="N176" s="21">
        <f>IF('Cleaned Data'!D176 = "High Street", 1,0)</f>
        <v>0</v>
      </c>
      <c r="O176" s="21">
        <f>IF('Cleaned Data'!D176 = "Mall", 1,0)</f>
        <v>0</v>
      </c>
    </row>
    <row r="177" spans="1:15">
      <c r="A177" s="13">
        <v>804264</v>
      </c>
      <c r="B177" s="14">
        <v>63043.94</v>
      </c>
      <c r="C177" s="14">
        <v>10402</v>
      </c>
      <c r="D177" s="14">
        <v>0.159</v>
      </c>
      <c r="E177" s="14">
        <v>23</v>
      </c>
      <c r="F177" s="14">
        <v>93.9</v>
      </c>
      <c r="G177" s="14">
        <v>2.71</v>
      </c>
      <c r="H177" s="14">
        <v>0</v>
      </c>
      <c r="I177" s="14">
        <v>3.1</v>
      </c>
      <c r="J177" s="21">
        <f>IF('Cleaned Data'!C177 = "East", 1, 0)</f>
        <v>1</v>
      </c>
      <c r="K177" s="21">
        <f>IF('Cleaned Data'!C177 = "West", 1, 0)</f>
        <v>0</v>
      </c>
      <c r="L177" s="21">
        <f>IF('Cleaned Data'!C177 = "North", 1, 0)</f>
        <v>0</v>
      </c>
      <c r="M177" s="21">
        <f>IF('Cleaned Data'!D177 = "Airport", 1, 0)</f>
        <v>0</v>
      </c>
      <c r="N177" s="21">
        <f>IF('Cleaned Data'!D177 = "High Street", 1,0)</f>
        <v>0</v>
      </c>
      <c r="O177" s="21">
        <f>IF('Cleaned Data'!D177 = "Mall", 1,0)</f>
        <v>0</v>
      </c>
    </row>
    <row r="178" spans="1:15">
      <c r="A178" s="13">
        <v>887537.75</v>
      </c>
      <c r="B178" s="14">
        <v>67494.09</v>
      </c>
      <c r="C178" s="14">
        <v>12361</v>
      </c>
      <c r="D178" s="14">
        <v>4.5999999999999999E-2</v>
      </c>
      <c r="E178" s="14">
        <v>24</v>
      </c>
      <c r="F178" s="14">
        <v>76.599999999999994</v>
      </c>
      <c r="G178" s="14">
        <v>3.65</v>
      </c>
      <c r="H178" s="14">
        <v>1</v>
      </c>
      <c r="I178" s="14">
        <v>3.7</v>
      </c>
      <c r="J178" s="21">
        <f>IF('Cleaned Data'!C178 = "East", 1, 0)</f>
        <v>0</v>
      </c>
      <c r="K178" s="21">
        <f>IF('Cleaned Data'!C178 = "West", 1, 0)</f>
        <v>1</v>
      </c>
      <c r="L178" s="21">
        <f>IF('Cleaned Data'!C178 = "North", 1, 0)</f>
        <v>0</v>
      </c>
      <c r="M178" s="21">
        <f>IF('Cleaned Data'!D178 = "Airport", 1, 0)</f>
        <v>1</v>
      </c>
      <c r="N178" s="21">
        <f>IF('Cleaned Data'!D178 = "High Street", 1,0)</f>
        <v>0</v>
      </c>
      <c r="O178" s="21">
        <f>IF('Cleaned Data'!D178 = "Mall", 1,0)</f>
        <v>0</v>
      </c>
    </row>
    <row r="179" spans="1:15">
      <c r="A179" s="13">
        <v>783582</v>
      </c>
      <c r="B179" s="14">
        <v>29389.32</v>
      </c>
      <c r="C179" s="14">
        <v>7925</v>
      </c>
      <c r="D179" s="14">
        <v>0.17699999999999999</v>
      </c>
      <c r="E179" s="14">
        <v>21</v>
      </c>
      <c r="F179" s="14">
        <v>90.9</v>
      </c>
      <c r="G179" s="14">
        <v>7.86</v>
      </c>
      <c r="H179" s="14">
        <v>0</v>
      </c>
      <c r="I179" s="14">
        <v>4</v>
      </c>
      <c r="J179" s="21">
        <f>IF('Cleaned Data'!C179 = "East", 1, 0)</f>
        <v>0</v>
      </c>
      <c r="K179" s="21">
        <f>IF('Cleaned Data'!C179 = "West", 1, 0)</f>
        <v>1</v>
      </c>
      <c r="L179" s="21">
        <f>IF('Cleaned Data'!C179 = "North", 1, 0)</f>
        <v>0</v>
      </c>
      <c r="M179" s="21">
        <f>IF('Cleaned Data'!D179 = "Airport", 1, 0)</f>
        <v>1</v>
      </c>
      <c r="N179" s="21">
        <f>IF('Cleaned Data'!D179 = "High Street", 1,0)</f>
        <v>0</v>
      </c>
      <c r="O179" s="21">
        <f>IF('Cleaned Data'!D179 = "Mall", 1,0)</f>
        <v>0</v>
      </c>
    </row>
    <row r="180" spans="1:15">
      <c r="A180" s="13">
        <v>781955.52</v>
      </c>
      <c r="B180" s="14">
        <v>40535.089999999997</v>
      </c>
      <c r="C180" s="14">
        <v>8870</v>
      </c>
      <c r="D180" s="14">
        <v>4.1000000000000002E-2</v>
      </c>
      <c r="E180" s="14">
        <v>21</v>
      </c>
      <c r="F180" s="14">
        <v>86.6</v>
      </c>
      <c r="G180" s="14">
        <v>0.3</v>
      </c>
      <c r="H180" s="14">
        <v>0</v>
      </c>
      <c r="I180" s="14">
        <v>4.0999999999999996</v>
      </c>
      <c r="J180" s="21">
        <f>IF('Cleaned Data'!C180 = "East", 1, 0)</f>
        <v>0</v>
      </c>
      <c r="K180" s="21">
        <f>IF('Cleaned Data'!C180 = "West", 1, 0)</f>
        <v>1</v>
      </c>
      <c r="L180" s="21">
        <f>IF('Cleaned Data'!C180 = "North", 1, 0)</f>
        <v>0</v>
      </c>
      <c r="M180" s="21">
        <f>IF('Cleaned Data'!D180 = "Airport", 1, 0)</f>
        <v>1</v>
      </c>
      <c r="N180" s="21">
        <f>IF('Cleaned Data'!D180 = "High Street", 1,0)</f>
        <v>0</v>
      </c>
      <c r="O180" s="21">
        <f>IF('Cleaned Data'!D180 = "Mall", 1,0)</f>
        <v>0</v>
      </c>
    </row>
    <row r="181" spans="1:15">
      <c r="A181" s="13">
        <v>898031.04</v>
      </c>
      <c r="B181" s="14">
        <v>74881.56</v>
      </c>
      <c r="C181" s="14">
        <v>9999</v>
      </c>
      <c r="D181" s="14">
        <v>1.2999999999999999E-2</v>
      </c>
      <c r="E181" s="14">
        <v>20</v>
      </c>
      <c r="F181" s="14">
        <v>89.6</v>
      </c>
      <c r="G181" s="14">
        <v>8.44</v>
      </c>
      <c r="H181" s="14">
        <v>0</v>
      </c>
      <c r="I181" s="14">
        <v>4.0999999999999996</v>
      </c>
      <c r="J181" s="21">
        <f>IF('Cleaned Data'!C181 = "East", 1, 0)</f>
        <v>0</v>
      </c>
      <c r="K181" s="21">
        <f>IF('Cleaned Data'!C181 = "West", 1, 0)</f>
        <v>1</v>
      </c>
      <c r="L181" s="21">
        <f>IF('Cleaned Data'!C181 = "North", 1, 0)</f>
        <v>0</v>
      </c>
      <c r="M181" s="21">
        <f>IF('Cleaned Data'!D181 = "Airport", 1, 0)</f>
        <v>1</v>
      </c>
      <c r="N181" s="21">
        <f>IF('Cleaned Data'!D181 = "High Street", 1,0)</f>
        <v>0</v>
      </c>
      <c r="O181" s="21">
        <f>IF('Cleaned Data'!D181 = "Mall", 1,0)</f>
        <v>0</v>
      </c>
    </row>
    <row r="182" spans="1:15">
      <c r="A182" s="13">
        <v>855341.28</v>
      </c>
      <c r="B182" s="14">
        <v>68491.11</v>
      </c>
      <c r="C182" s="14">
        <v>11154</v>
      </c>
      <c r="D182" s="14">
        <v>1E-3</v>
      </c>
      <c r="E182" s="14">
        <v>24</v>
      </c>
      <c r="F182" s="14">
        <v>89.4</v>
      </c>
      <c r="G182" s="14">
        <v>5.27</v>
      </c>
      <c r="H182" s="14">
        <v>1</v>
      </c>
      <c r="I182" s="14">
        <v>3.9</v>
      </c>
      <c r="J182" s="21">
        <f>IF('Cleaned Data'!C182 = "East", 1, 0)</f>
        <v>0</v>
      </c>
      <c r="K182" s="21">
        <f>IF('Cleaned Data'!C182 = "West", 1, 0)</f>
        <v>1</v>
      </c>
      <c r="L182" s="21">
        <f>IF('Cleaned Data'!C182 = "North", 1, 0)</f>
        <v>0</v>
      </c>
      <c r="M182" s="21">
        <f>IF('Cleaned Data'!D182 = "Airport", 1, 0)</f>
        <v>0</v>
      </c>
      <c r="N182" s="21">
        <f>IF('Cleaned Data'!D182 = "High Street", 1,0)</f>
        <v>0</v>
      </c>
      <c r="O182" s="21">
        <f>IF('Cleaned Data'!D182 = "Mall", 1,0)</f>
        <v>0</v>
      </c>
    </row>
    <row r="183" spans="1:15">
      <c r="A183" s="13">
        <v>751393.88</v>
      </c>
      <c r="B183" s="14">
        <v>45209.25</v>
      </c>
      <c r="C183" s="14">
        <v>9287</v>
      </c>
      <c r="D183" s="14">
        <v>0.14099999999999999</v>
      </c>
      <c r="E183" s="14">
        <v>22</v>
      </c>
      <c r="F183" s="14">
        <v>86.4</v>
      </c>
      <c r="G183" s="14">
        <v>13.22</v>
      </c>
      <c r="H183" s="14">
        <v>0</v>
      </c>
      <c r="I183" s="14">
        <v>3.6</v>
      </c>
      <c r="J183" s="21">
        <f>IF('Cleaned Data'!C183 = "East", 1, 0)</f>
        <v>0</v>
      </c>
      <c r="K183" s="21">
        <f>IF('Cleaned Data'!C183 = "West", 1, 0)</f>
        <v>1</v>
      </c>
      <c r="L183" s="21">
        <f>IF('Cleaned Data'!C183 = "North", 1, 0)</f>
        <v>0</v>
      </c>
      <c r="M183" s="21">
        <f>IF('Cleaned Data'!D183 = "Airport", 1, 0)</f>
        <v>0</v>
      </c>
      <c r="N183" s="21">
        <f>IF('Cleaned Data'!D183 = "High Street", 1,0)</f>
        <v>0</v>
      </c>
      <c r="O183" s="21">
        <f>IF('Cleaned Data'!D183 = "Mall", 1,0)</f>
        <v>0</v>
      </c>
    </row>
    <row r="184" spans="1:15">
      <c r="A184" s="13">
        <v>761077.08</v>
      </c>
      <c r="B184" s="14">
        <v>63010.23</v>
      </c>
      <c r="C184" s="14">
        <v>9812</v>
      </c>
      <c r="D184" s="14">
        <v>0.113</v>
      </c>
      <c r="E184" s="14">
        <v>24</v>
      </c>
      <c r="F184" s="14">
        <v>76.8</v>
      </c>
      <c r="G184" s="14">
        <v>1.02</v>
      </c>
      <c r="H184" s="14">
        <v>1</v>
      </c>
      <c r="I184" s="14">
        <v>3.8</v>
      </c>
      <c r="J184" s="21">
        <f>IF('Cleaned Data'!C184 = "East", 1, 0)</f>
        <v>0</v>
      </c>
      <c r="K184" s="21">
        <f>IF('Cleaned Data'!C184 = "West", 1, 0)</f>
        <v>1</v>
      </c>
      <c r="L184" s="21">
        <f>IF('Cleaned Data'!C184 = "North", 1, 0)</f>
        <v>0</v>
      </c>
      <c r="M184" s="21">
        <f>IF('Cleaned Data'!D184 = "Airport", 1, 0)</f>
        <v>0</v>
      </c>
      <c r="N184" s="21">
        <f>IF('Cleaned Data'!D184 = "High Street", 1,0)</f>
        <v>0</v>
      </c>
      <c r="O184" s="21">
        <f>IF('Cleaned Data'!D184 = "Mall", 1,0)</f>
        <v>0</v>
      </c>
    </row>
    <row r="185" spans="1:15">
      <c r="A185" s="13">
        <v>819660.59</v>
      </c>
      <c r="B185" s="14">
        <v>57948.88</v>
      </c>
      <c r="C185" s="14">
        <v>10741</v>
      </c>
      <c r="D185" s="14">
        <v>7.0000000000000007E-2</v>
      </c>
      <c r="E185" s="14">
        <v>25</v>
      </c>
      <c r="F185" s="14">
        <v>90.1</v>
      </c>
      <c r="G185" s="14">
        <v>4.03</v>
      </c>
      <c r="H185" s="14">
        <v>0</v>
      </c>
      <c r="I185" s="14">
        <v>3.1</v>
      </c>
      <c r="J185" s="21">
        <f>IF('Cleaned Data'!C185 = "East", 1, 0)</f>
        <v>0</v>
      </c>
      <c r="K185" s="21">
        <f>IF('Cleaned Data'!C185 = "West", 1, 0)</f>
        <v>1</v>
      </c>
      <c r="L185" s="21">
        <f>IF('Cleaned Data'!C185 = "North", 1, 0)</f>
        <v>0</v>
      </c>
      <c r="M185" s="21">
        <f>IF('Cleaned Data'!D185 = "Airport", 1, 0)</f>
        <v>0</v>
      </c>
      <c r="N185" s="21">
        <f>IF('Cleaned Data'!D185 = "High Street", 1,0)</f>
        <v>0</v>
      </c>
      <c r="O185" s="21">
        <f>IF('Cleaned Data'!D185 = "Mall", 1,0)</f>
        <v>0</v>
      </c>
    </row>
    <row r="186" spans="1:15">
      <c r="A186" s="13">
        <v>681855.56</v>
      </c>
      <c r="B186" s="14">
        <v>71941.62</v>
      </c>
      <c r="C186" s="14">
        <v>6084</v>
      </c>
      <c r="D186" s="14">
        <v>7.1999999999999995E-2</v>
      </c>
      <c r="E186" s="14">
        <v>13</v>
      </c>
      <c r="F186" s="14">
        <v>93.7</v>
      </c>
      <c r="G186" s="14">
        <v>2.34</v>
      </c>
      <c r="H186" s="14">
        <v>0</v>
      </c>
      <c r="I186" s="14">
        <v>4.4000000000000004</v>
      </c>
      <c r="J186" s="21">
        <f>IF('Cleaned Data'!C186 = "East", 1, 0)</f>
        <v>0</v>
      </c>
      <c r="K186" s="21">
        <f>IF('Cleaned Data'!C186 = "West", 1, 0)</f>
        <v>0</v>
      </c>
      <c r="L186" s="21">
        <f>IF('Cleaned Data'!C186 = "North", 1, 0)</f>
        <v>1</v>
      </c>
      <c r="M186" s="21">
        <f>IF('Cleaned Data'!D186 = "Airport", 1, 0)</f>
        <v>0</v>
      </c>
      <c r="N186" s="21">
        <f>IF('Cleaned Data'!D186 = "High Street", 1,0)</f>
        <v>1</v>
      </c>
      <c r="O186" s="21">
        <f>IF('Cleaned Data'!D186 = "Mall", 1,0)</f>
        <v>0</v>
      </c>
    </row>
    <row r="187" spans="1:15">
      <c r="A187" s="13">
        <v>678311.17</v>
      </c>
      <c r="B187" s="14">
        <v>57147.88</v>
      </c>
      <c r="C187" s="14">
        <v>5252</v>
      </c>
      <c r="D187" s="14">
        <v>0.161</v>
      </c>
      <c r="E187" s="14">
        <v>15</v>
      </c>
      <c r="F187" s="14">
        <v>95.5</v>
      </c>
      <c r="G187" s="14">
        <v>8.51</v>
      </c>
      <c r="H187" s="14">
        <v>0</v>
      </c>
      <c r="I187" s="14">
        <v>4.4000000000000004</v>
      </c>
      <c r="J187" s="21">
        <f>IF('Cleaned Data'!C187 = "East", 1, 0)</f>
        <v>0</v>
      </c>
      <c r="K187" s="21">
        <f>IF('Cleaned Data'!C187 = "West", 1, 0)</f>
        <v>0</v>
      </c>
      <c r="L187" s="21">
        <f>IF('Cleaned Data'!C187 = "North", 1, 0)</f>
        <v>1</v>
      </c>
      <c r="M187" s="21">
        <f>IF('Cleaned Data'!D187 = "Airport", 1, 0)</f>
        <v>0</v>
      </c>
      <c r="N187" s="21">
        <f>IF('Cleaned Data'!D187 = "High Street", 1,0)</f>
        <v>1</v>
      </c>
      <c r="O187" s="21">
        <f>IF('Cleaned Data'!D187 = "Mall", 1,0)</f>
        <v>0</v>
      </c>
    </row>
    <row r="188" spans="1:15">
      <c r="A188" s="13">
        <v>765906.95</v>
      </c>
      <c r="B188" s="14">
        <v>48031.74</v>
      </c>
      <c r="C188" s="14">
        <v>6516</v>
      </c>
      <c r="D188" s="14">
        <v>6.7000000000000004E-2</v>
      </c>
      <c r="E188" s="14">
        <v>14</v>
      </c>
      <c r="F188" s="14">
        <v>99</v>
      </c>
      <c r="G188" s="14">
        <v>0.48</v>
      </c>
      <c r="H188" s="14">
        <v>1</v>
      </c>
      <c r="I188" s="14">
        <v>4.3</v>
      </c>
      <c r="J188" s="21">
        <f>IF('Cleaned Data'!C188 = "East", 1, 0)</f>
        <v>0</v>
      </c>
      <c r="K188" s="21">
        <f>IF('Cleaned Data'!C188 = "West", 1, 0)</f>
        <v>0</v>
      </c>
      <c r="L188" s="21">
        <f>IF('Cleaned Data'!C188 = "North", 1, 0)</f>
        <v>1</v>
      </c>
      <c r="M188" s="21">
        <f>IF('Cleaned Data'!D188 = "Airport", 1, 0)</f>
        <v>0</v>
      </c>
      <c r="N188" s="21">
        <f>IF('Cleaned Data'!D188 = "High Street", 1,0)</f>
        <v>1</v>
      </c>
      <c r="O188" s="21">
        <f>IF('Cleaned Data'!D188 = "Mall", 1,0)</f>
        <v>0</v>
      </c>
    </row>
    <row r="189" spans="1:15">
      <c r="A189" s="13">
        <v>712546.38</v>
      </c>
      <c r="B189" s="14">
        <v>72784.800000000003</v>
      </c>
      <c r="C189" s="14">
        <v>7932</v>
      </c>
      <c r="D189" s="14">
        <v>9.4E-2</v>
      </c>
      <c r="E189" s="14">
        <v>20</v>
      </c>
      <c r="F189" s="14">
        <v>74.900000000000006</v>
      </c>
      <c r="G189" s="14">
        <v>13.62</v>
      </c>
      <c r="H189" s="14">
        <v>0</v>
      </c>
      <c r="I189" s="14">
        <v>4.2</v>
      </c>
      <c r="J189" s="21">
        <f>IF('Cleaned Data'!C189 = "East", 1, 0)</f>
        <v>0</v>
      </c>
      <c r="K189" s="21">
        <f>IF('Cleaned Data'!C189 = "West", 1, 0)</f>
        <v>0</v>
      </c>
      <c r="L189" s="21">
        <f>IF('Cleaned Data'!C189 = "North", 1, 0)</f>
        <v>1</v>
      </c>
      <c r="M189" s="21">
        <f>IF('Cleaned Data'!D189 = "Airport", 1, 0)</f>
        <v>0</v>
      </c>
      <c r="N189" s="21">
        <f>IF('Cleaned Data'!D189 = "High Street", 1,0)</f>
        <v>1</v>
      </c>
      <c r="O189" s="21">
        <f>IF('Cleaned Data'!D189 = "Mall", 1,0)</f>
        <v>0</v>
      </c>
    </row>
    <row r="190" spans="1:15">
      <c r="A190" s="13">
        <v>625993.82999999996</v>
      </c>
      <c r="B190" s="14">
        <v>71641.899999999994</v>
      </c>
      <c r="C190" s="14">
        <v>3506</v>
      </c>
      <c r="D190" s="14">
        <v>0</v>
      </c>
      <c r="E190" s="14">
        <v>11</v>
      </c>
      <c r="F190" s="14">
        <v>86.4</v>
      </c>
      <c r="G190" s="14">
        <v>7.77</v>
      </c>
      <c r="H190" s="14">
        <v>0</v>
      </c>
      <c r="I190" s="14">
        <v>4.0999999999999996</v>
      </c>
      <c r="J190" s="21">
        <f>IF('Cleaned Data'!C190 = "East", 1, 0)</f>
        <v>1</v>
      </c>
      <c r="K190" s="21">
        <f>IF('Cleaned Data'!C190 = "West", 1, 0)</f>
        <v>0</v>
      </c>
      <c r="L190" s="21">
        <f>IF('Cleaned Data'!C190 = "North", 1, 0)</f>
        <v>0</v>
      </c>
      <c r="M190" s="21">
        <f>IF('Cleaned Data'!D190 = "Airport", 1, 0)</f>
        <v>0</v>
      </c>
      <c r="N190" s="21">
        <f>IF('Cleaned Data'!D190 = "High Street", 1,0)</f>
        <v>1</v>
      </c>
      <c r="O190" s="21">
        <f>IF('Cleaned Data'!D190 = "Mall", 1,0)</f>
        <v>0</v>
      </c>
    </row>
    <row r="191" spans="1:15">
      <c r="A191" s="13">
        <v>550962.93000000005</v>
      </c>
      <c r="B191" s="14">
        <v>55788.61</v>
      </c>
      <c r="C191" s="14">
        <v>2312</v>
      </c>
      <c r="D191" s="14">
        <v>5.8000000000000003E-2</v>
      </c>
      <c r="E191" s="14">
        <v>10</v>
      </c>
      <c r="F191" s="14">
        <v>91.3</v>
      </c>
      <c r="G191" s="14">
        <v>1.99</v>
      </c>
      <c r="H191" s="14">
        <v>0</v>
      </c>
      <c r="I191" s="14">
        <v>3.8</v>
      </c>
      <c r="J191" s="21">
        <f>IF('Cleaned Data'!C191 = "East", 1, 0)</f>
        <v>1</v>
      </c>
      <c r="K191" s="21">
        <f>IF('Cleaned Data'!C191 = "West", 1, 0)</f>
        <v>0</v>
      </c>
      <c r="L191" s="21">
        <f>IF('Cleaned Data'!C191 = "North", 1, 0)</f>
        <v>0</v>
      </c>
      <c r="M191" s="21">
        <f>IF('Cleaned Data'!D191 = "Airport", 1, 0)</f>
        <v>0</v>
      </c>
      <c r="N191" s="21">
        <f>IF('Cleaned Data'!D191 = "High Street", 1,0)</f>
        <v>1</v>
      </c>
      <c r="O191" s="21">
        <f>IF('Cleaned Data'!D191 = "Mall", 1,0)</f>
        <v>0</v>
      </c>
    </row>
    <row r="192" spans="1:15">
      <c r="A192" s="13">
        <v>443275.59</v>
      </c>
      <c r="B192" s="14">
        <v>37705.879999999997</v>
      </c>
      <c r="C192" s="14">
        <v>1268</v>
      </c>
      <c r="D192" s="14">
        <v>0.25900000000000001</v>
      </c>
      <c r="E192" s="14">
        <v>9</v>
      </c>
      <c r="F192" s="14">
        <v>84.1</v>
      </c>
      <c r="G192" s="14">
        <v>4.7699999999999996</v>
      </c>
      <c r="H192" s="14">
        <v>0</v>
      </c>
      <c r="I192" s="14">
        <v>3.8</v>
      </c>
      <c r="J192" s="21">
        <f>IF('Cleaned Data'!C192 = "East", 1, 0)</f>
        <v>1</v>
      </c>
      <c r="K192" s="21">
        <f>IF('Cleaned Data'!C192 = "West", 1, 0)</f>
        <v>0</v>
      </c>
      <c r="L192" s="21">
        <f>IF('Cleaned Data'!C192 = "North", 1, 0)</f>
        <v>0</v>
      </c>
      <c r="M192" s="21">
        <f>IF('Cleaned Data'!D192 = "Airport", 1, 0)</f>
        <v>0</v>
      </c>
      <c r="N192" s="21">
        <f>IF('Cleaned Data'!D192 = "High Street", 1,0)</f>
        <v>1</v>
      </c>
      <c r="O192" s="21">
        <f>IF('Cleaned Data'!D192 = "Mall", 1,0)</f>
        <v>0</v>
      </c>
    </row>
    <row r="193" spans="1:15">
      <c r="A193" s="13">
        <v>554012.06999999995</v>
      </c>
      <c r="B193" s="14">
        <v>54966.18</v>
      </c>
      <c r="C193" s="14">
        <v>4423</v>
      </c>
      <c r="D193" s="14">
        <v>0.186</v>
      </c>
      <c r="E193" s="14">
        <v>13</v>
      </c>
      <c r="F193" s="14">
        <v>88.7</v>
      </c>
      <c r="G193" s="14">
        <v>0.2</v>
      </c>
      <c r="H193" s="14">
        <v>0</v>
      </c>
      <c r="I193" s="14">
        <v>4.4000000000000004</v>
      </c>
      <c r="J193" s="21">
        <f>IF('Cleaned Data'!C193 = "East", 1, 0)</f>
        <v>1</v>
      </c>
      <c r="K193" s="21">
        <f>IF('Cleaned Data'!C193 = "West", 1, 0)</f>
        <v>0</v>
      </c>
      <c r="L193" s="21">
        <f>IF('Cleaned Data'!C193 = "North", 1, 0)</f>
        <v>0</v>
      </c>
      <c r="M193" s="21">
        <f>IF('Cleaned Data'!D193 = "Airport", 1, 0)</f>
        <v>0</v>
      </c>
      <c r="N193" s="21">
        <f>IF('Cleaned Data'!D193 = "High Street", 1,0)</f>
        <v>1</v>
      </c>
      <c r="O193" s="21">
        <f>IF('Cleaned Data'!D193 = "Mall", 1,0)</f>
        <v>0</v>
      </c>
    </row>
    <row r="194" spans="1:15">
      <c r="A194" s="13">
        <v>643428.85</v>
      </c>
      <c r="B194" s="14">
        <v>81796.740000000005</v>
      </c>
      <c r="C194" s="14">
        <v>6177</v>
      </c>
      <c r="D194" s="14">
        <v>0.16400000000000001</v>
      </c>
      <c r="E194" s="14">
        <v>14</v>
      </c>
      <c r="F194" s="14">
        <v>87.9</v>
      </c>
      <c r="G194" s="14">
        <v>0.53</v>
      </c>
      <c r="H194" s="14">
        <v>0</v>
      </c>
      <c r="I194" s="14">
        <v>3.2</v>
      </c>
      <c r="J194" s="21">
        <f>IF('Cleaned Data'!C194 = "East", 1, 0)</f>
        <v>0</v>
      </c>
      <c r="K194" s="21">
        <f>IF('Cleaned Data'!C194 = "West", 1, 0)</f>
        <v>1</v>
      </c>
      <c r="L194" s="21">
        <f>IF('Cleaned Data'!C194 = "North", 1, 0)</f>
        <v>0</v>
      </c>
      <c r="M194" s="21">
        <f>IF('Cleaned Data'!D194 = "Airport", 1, 0)</f>
        <v>0</v>
      </c>
      <c r="N194" s="21">
        <f>IF('Cleaned Data'!D194 = "High Street", 1,0)</f>
        <v>0</v>
      </c>
      <c r="O194" s="21">
        <f>IF('Cleaned Data'!D194 = "Mall", 1,0)</f>
        <v>0</v>
      </c>
    </row>
    <row r="195" spans="1:15">
      <c r="A195" s="13">
        <v>611924.27</v>
      </c>
      <c r="B195" s="14">
        <v>51133.43</v>
      </c>
      <c r="C195" s="14">
        <v>5150</v>
      </c>
      <c r="D195" s="14">
        <v>0.15</v>
      </c>
      <c r="E195" s="14">
        <v>12</v>
      </c>
      <c r="F195" s="14">
        <v>88.5</v>
      </c>
      <c r="G195" s="14">
        <v>1.54</v>
      </c>
      <c r="H195" s="14">
        <v>0</v>
      </c>
      <c r="I195" s="14">
        <v>3.2</v>
      </c>
      <c r="J195" s="21">
        <f>IF('Cleaned Data'!C195 = "East", 1, 0)</f>
        <v>0</v>
      </c>
      <c r="K195" s="21">
        <f>IF('Cleaned Data'!C195 = "West", 1, 0)</f>
        <v>1</v>
      </c>
      <c r="L195" s="21">
        <f>IF('Cleaned Data'!C195 = "North", 1, 0)</f>
        <v>0</v>
      </c>
      <c r="M195" s="21">
        <f>IF('Cleaned Data'!D195 = "Airport", 1, 0)</f>
        <v>0</v>
      </c>
      <c r="N195" s="21">
        <f>IF('Cleaned Data'!D195 = "High Street", 1,0)</f>
        <v>0</v>
      </c>
      <c r="O195" s="21">
        <f>IF('Cleaned Data'!D195 = "Mall", 1,0)</f>
        <v>0</v>
      </c>
    </row>
    <row r="196" spans="1:15">
      <c r="A196" s="13">
        <v>559422.02</v>
      </c>
      <c r="B196" s="14">
        <v>40220.18</v>
      </c>
      <c r="C196" s="14">
        <v>3783</v>
      </c>
      <c r="D196" s="14">
        <v>8.8999999999999996E-2</v>
      </c>
      <c r="E196" s="14">
        <v>14</v>
      </c>
      <c r="F196" s="14">
        <v>86.6</v>
      </c>
      <c r="G196" s="14">
        <v>3.63</v>
      </c>
      <c r="H196" s="14">
        <v>0</v>
      </c>
      <c r="I196" s="14">
        <v>3.7</v>
      </c>
      <c r="J196" s="21">
        <f>IF('Cleaned Data'!C196 = "East", 1, 0)</f>
        <v>0</v>
      </c>
      <c r="K196" s="21">
        <f>IF('Cleaned Data'!C196 = "West", 1, 0)</f>
        <v>1</v>
      </c>
      <c r="L196" s="21">
        <f>IF('Cleaned Data'!C196 = "North", 1, 0)</f>
        <v>0</v>
      </c>
      <c r="M196" s="21">
        <f>IF('Cleaned Data'!D196 = "Airport", 1, 0)</f>
        <v>0</v>
      </c>
      <c r="N196" s="21">
        <f>IF('Cleaned Data'!D196 = "High Street", 1,0)</f>
        <v>0</v>
      </c>
      <c r="O196" s="21">
        <f>IF('Cleaned Data'!D196 = "Mall", 1,0)</f>
        <v>0</v>
      </c>
    </row>
    <row r="197" spans="1:15">
      <c r="A197" s="13">
        <v>449465.06</v>
      </c>
      <c r="B197" s="14">
        <v>41657.64</v>
      </c>
      <c r="C197" s="14">
        <v>3135</v>
      </c>
      <c r="D197" s="14">
        <v>0.22900000000000001</v>
      </c>
      <c r="E197" s="14">
        <v>7</v>
      </c>
      <c r="F197" s="14">
        <v>85.4</v>
      </c>
      <c r="G197" s="14">
        <v>13.48</v>
      </c>
      <c r="H197" s="14">
        <v>0</v>
      </c>
      <c r="I197" s="14">
        <v>3.9</v>
      </c>
      <c r="J197" s="21">
        <f>IF('Cleaned Data'!C197 = "East", 1, 0)</f>
        <v>0</v>
      </c>
      <c r="K197" s="21">
        <f>IF('Cleaned Data'!C197 = "West", 1, 0)</f>
        <v>1</v>
      </c>
      <c r="L197" s="21">
        <f>IF('Cleaned Data'!C197 = "North", 1, 0)</f>
        <v>0</v>
      </c>
      <c r="M197" s="21">
        <f>IF('Cleaned Data'!D197 = "Airport", 1, 0)</f>
        <v>0</v>
      </c>
      <c r="N197" s="21">
        <f>IF('Cleaned Data'!D197 = "High Street", 1,0)</f>
        <v>0</v>
      </c>
      <c r="O197" s="21">
        <f>IF('Cleaned Data'!D197 = "Mall", 1,0)</f>
        <v>0</v>
      </c>
    </row>
    <row r="198" spans="1:15">
      <c r="A198" s="13">
        <v>691447.43</v>
      </c>
      <c r="B198" s="14">
        <v>71851.45</v>
      </c>
      <c r="C198" s="14">
        <v>4970</v>
      </c>
      <c r="D198" s="14">
        <v>9.8000000000000004E-2</v>
      </c>
      <c r="E198" s="14">
        <v>11</v>
      </c>
      <c r="F198" s="14">
        <v>89.6</v>
      </c>
      <c r="G198" s="14">
        <v>0.2</v>
      </c>
      <c r="H198" s="14">
        <v>0</v>
      </c>
      <c r="I198" s="14">
        <v>4.2</v>
      </c>
      <c r="J198" s="21">
        <f>IF('Cleaned Data'!C198 = "East", 1, 0)</f>
        <v>0</v>
      </c>
      <c r="K198" s="21">
        <f>IF('Cleaned Data'!C198 = "West", 1, 0)</f>
        <v>0</v>
      </c>
      <c r="L198" s="21">
        <f>IF('Cleaned Data'!C198 = "North", 1, 0)</f>
        <v>1</v>
      </c>
      <c r="M198" s="21">
        <f>IF('Cleaned Data'!D198 = "Airport", 1, 0)</f>
        <v>0</v>
      </c>
      <c r="N198" s="21">
        <f>IF('Cleaned Data'!D198 = "High Street", 1,0)</f>
        <v>0</v>
      </c>
      <c r="O198" s="21">
        <f>IF('Cleaned Data'!D198 = "Mall", 1,0)</f>
        <v>0</v>
      </c>
    </row>
    <row r="199" spans="1:15">
      <c r="A199" s="13">
        <v>574066.61</v>
      </c>
      <c r="B199" s="14">
        <v>54002.83</v>
      </c>
      <c r="C199" s="14">
        <v>4366</v>
      </c>
      <c r="D199" s="14">
        <v>2.7E-2</v>
      </c>
      <c r="E199" s="14">
        <v>15</v>
      </c>
      <c r="F199" s="14">
        <v>90.6</v>
      </c>
      <c r="G199" s="14">
        <v>12.82</v>
      </c>
      <c r="H199" s="14">
        <v>0</v>
      </c>
      <c r="I199" s="14">
        <v>4.5999999999999996</v>
      </c>
      <c r="J199" s="21">
        <f>IF('Cleaned Data'!C199 = "East", 1, 0)</f>
        <v>0</v>
      </c>
      <c r="K199" s="21">
        <f>IF('Cleaned Data'!C199 = "West", 1, 0)</f>
        <v>0</v>
      </c>
      <c r="L199" s="21">
        <f>IF('Cleaned Data'!C199 = "North", 1, 0)</f>
        <v>1</v>
      </c>
      <c r="M199" s="21">
        <f>IF('Cleaned Data'!D199 = "Airport", 1, 0)</f>
        <v>0</v>
      </c>
      <c r="N199" s="21">
        <f>IF('Cleaned Data'!D199 = "High Street", 1,0)</f>
        <v>0</v>
      </c>
      <c r="O199" s="21">
        <f>IF('Cleaned Data'!D199 = "Mall", 1,0)</f>
        <v>0</v>
      </c>
    </row>
    <row r="200" spans="1:15">
      <c r="A200" s="13">
        <v>578949.84</v>
      </c>
      <c r="B200" s="14">
        <v>54479.33</v>
      </c>
      <c r="C200" s="14">
        <v>5012</v>
      </c>
      <c r="D200" s="14">
        <v>0.28399999999999997</v>
      </c>
      <c r="E200" s="14">
        <v>13</v>
      </c>
      <c r="F200" s="14">
        <v>86</v>
      </c>
      <c r="G200" s="14">
        <v>2.2400000000000002</v>
      </c>
      <c r="H200" s="14">
        <v>1</v>
      </c>
      <c r="I200" s="14">
        <v>4.3</v>
      </c>
      <c r="J200" s="21">
        <f>IF('Cleaned Data'!C200 = "East", 1, 0)</f>
        <v>0</v>
      </c>
      <c r="K200" s="21">
        <f>IF('Cleaned Data'!C200 = "West", 1, 0)</f>
        <v>0</v>
      </c>
      <c r="L200" s="21">
        <f>IF('Cleaned Data'!C200 = "North", 1, 0)</f>
        <v>1</v>
      </c>
      <c r="M200" s="21">
        <f>IF('Cleaned Data'!D200 = "Airport", 1, 0)</f>
        <v>0</v>
      </c>
      <c r="N200" s="21">
        <f>IF('Cleaned Data'!D200 = "High Street", 1,0)</f>
        <v>0</v>
      </c>
      <c r="O200" s="21">
        <f>IF('Cleaned Data'!D200 = "Mall", 1,0)</f>
        <v>0</v>
      </c>
    </row>
    <row r="201" spans="1:15">
      <c r="A201" s="13">
        <v>735786.64</v>
      </c>
      <c r="B201" s="14">
        <v>61391.8</v>
      </c>
      <c r="C201" s="14">
        <v>5575</v>
      </c>
      <c r="D201" s="14">
        <v>0.189</v>
      </c>
      <c r="E201" s="14">
        <v>18</v>
      </c>
      <c r="F201" s="14">
        <v>90</v>
      </c>
      <c r="G201" s="14">
        <v>1.8</v>
      </c>
      <c r="H201" s="14">
        <v>0</v>
      </c>
      <c r="I201" s="14">
        <v>4.8</v>
      </c>
      <c r="J201" s="21">
        <f>IF('Cleaned Data'!C201 = "East", 1, 0)</f>
        <v>0</v>
      </c>
      <c r="K201" s="21">
        <f>IF('Cleaned Data'!C201 = "West", 1, 0)</f>
        <v>0</v>
      </c>
      <c r="L201" s="21">
        <f>IF('Cleaned Data'!C201 = "North", 1, 0)</f>
        <v>1</v>
      </c>
      <c r="M201" s="21">
        <f>IF('Cleaned Data'!D201 = "Airport", 1, 0)</f>
        <v>0</v>
      </c>
      <c r="N201" s="21">
        <f>IF('Cleaned Data'!D201 = "High Street", 1,0)</f>
        <v>0</v>
      </c>
      <c r="O201" s="21">
        <f>IF('Cleaned Data'!D201 = "Mall", 1,0)</f>
        <v>0</v>
      </c>
    </row>
    <row r="202" spans="1:15">
      <c r="A202" s="13">
        <v>598904.9</v>
      </c>
      <c r="B202" s="14">
        <v>22312.93</v>
      </c>
      <c r="C202" s="14">
        <v>5955</v>
      </c>
      <c r="D202" s="14">
        <v>0.123</v>
      </c>
      <c r="E202" s="14">
        <v>13</v>
      </c>
      <c r="F202" s="14">
        <v>84.2</v>
      </c>
      <c r="G202" s="14">
        <v>0.41</v>
      </c>
      <c r="H202" s="14">
        <v>1</v>
      </c>
      <c r="I202" s="14">
        <v>4.5999999999999996</v>
      </c>
      <c r="J202" s="21">
        <f>IF('Cleaned Data'!C202 = "East", 1, 0)</f>
        <v>1</v>
      </c>
      <c r="K202" s="21">
        <f>IF('Cleaned Data'!C202 = "West", 1, 0)</f>
        <v>0</v>
      </c>
      <c r="L202" s="21">
        <f>IF('Cleaned Data'!C202 = "North", 1, 0)</f>
        <v>0</v>
      </c>
      <c r="M202" s="21">
        <f>IF('Cleaned Data'!D202 = "Airport", 1, 0)</f>
        <v>1</v>
      </c>
      <c r="N202" s="21">
        <f>IF('Cleaned Data'!D202 = "High Street", 1,0)</f>
        <v>0</v>
      </c>
      <c r="O202" s="21">
        <f>IF('Cleaned Data'!D202 = "Mall", 1,0)</f>
        <v>0</v>
      </c>
    </row>
    <row r="203" spans="1:15">
      <c r="A203" s="13">
        <v>787715.51</v>
      </c>
      <c r="B203" s="14">
        <v>78111.97</v>
      </c>
      <c r="C203" s="14">
        <v>6389</v>
      </c>
      <c r="D203" s="14">
        <v>0.15</v>
      </c>
      <c r="E203" s="14">
        <v>13</v>
      </c>
      <c r="F203" s="14">
        <v>83.9</v>
      </c>
      <c r="G203" s="14">
        <v>3.05</v>
      </c>
      <c r="H203" s="14">
        <v>0</v>
      </c>
      <c r="I203" s="14">
        <v>4.8</v>
      </c>
      <c r="J203" s="21">
        <f>IF('Cleaned Data'!C203 = "East", 1, 0)</f>
        <v>1</v>
      </c>
      <c r="K203" s="21">
        <f>IF('Cleaned Data'!C203 = "West", 1, 0)</f>
        <v>0</v>
      </c>
      <c r="L203" s="21">
        <f>IF('Cleaned Data'!C203 = "North", 1, 0)</f>
        <v>0</v>
      </c>
      <c r="M203" s="21">
        <f>IF('Cleaned Data'!D203 = "Airport", 1, 0)</f>
        <v>1</v>
      </c>
      <c r="N203" s="21">
        <f>IF('Cleaned Data'!D203 = "High Street", 1,0)</f>
        <v>0</v>
      </c>
      <c r="O203" s="21">
        <f>IF('Cleaned Data'!D203 = "Mall", 1,0)</f>
        <v>0</v>
      </c>
    </row>
    <row r="204" spans="1:15">
      <c r="A204" s="13">
        <v>607084.92000000004</v>
      </c>
      <c r="B204" s="14">
        <v>35203.230000000003</v>
      </c>
      <c r="C204" s="14">
        <v>6896</v>
      </c>
      <c r="D204" s="14">
        <v>3.2000000000000001E-2</v>
      </c>
      <c r="E204" s="14">
        <v>14</v>
      </c>
      <c r="F204" s="14">
        <v>80.8</v>
      </c>
      <c r="G204" s="14">
        <v>8.44</v>
      </c>
      <c r="H204" s="14">
        <v>1</v>
      </c>
      <c r="I204" s="14">
        <v>5</v>
      </c>
      <c r="J204" s="21">
        <f>IF('Cleaned Data'!C204 = "East", 1, 0)</f>
        <v>1</v>
      </c>
      <c r="K204" s="21">
        <f>IF('Cleaned Data'!C204 = "West", 1, 0)</f>
        <v>0</v>
      </c>
      <c r="L204" s="21">
        <f>IF('Cleaned Data'!C204 = "North", 1, 0)</f>
        <v>0</v>
      </c>
      <c r="M204" s="21">
        <f>IF('Cleaned Data'!D204 = "Airport", 1, 0)</f>
        <v>1</v>
      </c>
      <c r="N204" s="21">
        <f>IF('Cleaned Data'!D204 = "High Street", 1,0)</f>
        <v>0</v>
      </c>
      <c r="O204" s="21">
        <f>IF('Cleaned Data'!D204 = "Mall", 1,0)</f>
        <v>0</v>
      </c>
    </row>
    <row r="205" spans="1:15">
      <c r="A205" s="13">
        <v>650795.49</v>
      </c>
      <c r="B205" s="14">
        <v>64104.28</v>
      </c>
      <c r="C205" s="14">
        <v>6015</v>
      </c>
      <c r="D205" s="14">
        <v>0.127</v>
      </c>
      <c r="E205" s="14">
        <v>15</v>
      </c>
      <c r="F205" s="14">
        <v>88.7</v>
      </c>
      <c r="G205" s="14">
        <v>0.78</v>
      </c>
      <c r="H205" s="14">
        <v>0</v>
      </c>
      <c r="I205" s="14">
        <v>4</v>
      </c>
      <c r="J205" s="21">
        <f>IF('Cleaned Data'!C205 = "East", 1, 0)</f>
        <v>1</v>
      </c>
      <c r="K205" s="21">
        <f>IF('Cleaned Data'!C205 = "West", 1, 0)</f>
        <v>0</v>
      </c>
      <c r="L205" s="21">
        <f>IF('Cleaned Data'!C205 = "North", 1, 0)</f>
        <v>0</v>
      </c>
      <c r="M205" s="21">
        <f>IF('Cleaned Data'!D205 = "Airport", 1, 0)</f>
        <v>1</v>
      </c>
      <c r="N205" s="21">
        <f>IF('Cleaned Data'!D205 = "High Street", 1,0)</f>
        <v>0</v>
      </c>
      <c r="O205" s="21">
        <f>IF('Cleaned Data'!D205 = "Mall", 1,0)</f>
        <v>0</v>
      </c>
    </row>
    <row r="206" spans="1:15">
      <c r="A206" s="13">
        <v>825060.52</v>
      </c>
      <c r="B206" s="14">
        <v>92090.14</v>
      </c>
      <c r="C206" s="14">
        <v>9476</v>
      </c>
      <c r="D206" s="14">
        <v>7.0000000000000007E-2</v>
      </c>
      <c r="E206" s="14">
        <v>24</v>
      </c>
      <c r="F206" s="14">
        <v>94.3</v>
      </c>
      <c r="G206" s="14">
        <v>0.87</v>
      </c>
      <c r="H206" s="14">
        <v>0</v>
      </c>
      <c r="I206" s="14">
        <v>3.7</v>
      </c>
      <c r="J206" s="21">
        <f>IF('Cleaned Data'!C206 = "East", 1, 0)</f>
        <v>1</v>
      </c>
      <c r="K206" s="21">
        <f>IF('Cleaned Data'!C206 = "West", 1, 0)</f>
        <v>0</v>
      </c>
      <c r="L206" s="21">
        <f>IF('Cleaned Data'!C206 = "North", 1, 0)</f>
        <v>0</v>
      </c>
      <c r="M206" s="21">
        <f>IF('Cleaned Data'!D206 = "Airport", 1, 0)</f>
        <v>0</v>
      </c>
      <c r="N206" s="21">
        <f>IF('Cleaned Data'!D206 = "High Street", 1,0)</f>
        <v>0</v>
      </c>
      <c r="O206" s="21">
        <f>IF('Cleaned Data'!D206 = "Mall", 1,0)</f>
        <v>1</v>
      </c>
    </row>
    <row r="207" spans="1:15">
      <c r="A207" s="13">
        <v>795464.47</v>
      </c>
      <c r="B207" s="14">
        <v>54300.87</v>
      </c>
      <c r="C207" s="14">
        <v>7875</v>
      </c>
      <c r="D207" s="14">
        <v>0.107</v>
      </c>
      <c r="E207" s="14">
        <v>19</v>
      </c>
      <c r="F207" s="14">
        <v>94.1</v>
      </c>
      <c r="G207" s="14">
        <v>0.95</v>
      </c>
      <c r="H207" s="14">
        <v>0</v>
      </c>
      <c r="I207" s="14">
        <v>3.7</v>
      </c>
      <c r="J207" s="21">
        <f>IF('Cleaned Data'!C207 = "East", 1, 0)</f>
        <v>1</v>
      </c>
      <c r="K207" s="21">
        <f>IF('Cleaned Data'!C207 = "West", 1, 0)</f>
        <v>0</v>
      </c>
      <c r="L207" s="21">
        <f>IF('Cleaned Data'!C207 = "North", 1, 0)</f>
        <v>0</v>
      </c>
      <c r="M207" s="21">
        <f>IF('Cleaned Data'!D207 = "Airport", 1, 0)</f>
        <v>0</v>
      </c>
      <c r="N207" s="21">
        <f>IF('Cleaned Data'!D207 = "High Street", 1,0)</f>
        <v>0</v>
      </c>
      <c r="O207" s="21">
        <f>IF('Cleaned Data'!D207 = "Mall", 1,0)</f>
        <v>1</v>
      </c>
    </row>
    <row r="208" spans="1:15">
      <c r="A208" s="13">
        <v>671868.59</v>
      </c>
      <c r="B208" s="14">
        <v>37983.35</v>
      </c>
      <c r="C208" s="14">
        <v>9283</v>
      </c>
      <c r="D208" s="14">
        <v>0.14899999999999999</v>
      </c>
      <c r="E208" s="14">
        <v>19</v>
      </c>
      <c r="F208" s="14">
        <v>83.2</v>
      </c>
      <c r="G208" s="14">
        <v>3.82</v>
      </c>
      <c r="H208" s="14">
        <v>0</v>
      </c>
      <c r="I208" s="14">
        <v>3.7</v>
      </c>
      <c r="J208" s="21">
        <f>IF('Cleaned Data'!C208 = "East", 1, 0)</f>
        <v>1</v>
      </c>
      <c r="K208" s="21">
        <f>IF('Cleaned Data'!C208 = "West", 1, 0)</f>
        <v>0</v>
      </c>
      <c r="L208" s="21">
        <f>IF('Cleaned Data'!C208 = "North", 1, 0)</f>
        <v>0</v>
      </c>
      <c r="M208" s="21">
        <f>IF('Cleaned Data'!D208 = "Airport", 1, 0)</f>
        <v>0</v>
      </c>
      <c r="N208" s="21">
        <f>IF('Cleaned Data'!D208 = "High Street", 1,0)</f>
        <v>0</v>
      </c>
      <c r="O208" s="21">
        <f>IF('Cleaned Data'!D208 = "Mall", 1,0)</f>
        <v>1</v>
      </c>
    </row>
    <row r="209" spans="1:15">
      <c r="A209" s="13">
        <v>675917.63</v>
      </c>
      <c r="B209" s="14">
        <v>56413.83</v>
      </c>
      <c r="C209" s="14">
        <v>8303</v>
      </c>
      <c r="D209" s="14">
        <v>0.11600000000000001</v>
      </c>
      <c r="E209" s="14">
        <v>18</v>
      </c>
      <c r="F209" s="14">
        <v>93.6</v>
      </c>
      <c r="G209" s="14">
        <v>2.7</v>
      </c>
      <c r="H209" s="14">
        <v>0</v>
      </c>
      <c r="I209" s="14">
        <v>3.7</v>
      </c>
      <c r="J209" s="21">
        <f>IF('Cleaned Data'!C209 = "East", 1, 0)</f>
        <v>1</v>
      </c>
      <c r="K209" s="21">
        <f>IF('Cleaned Data'!C209 = "West", 1, 0)</f>
        <v>0</v>
      </c>
      <c r="L209" s="21">
        <f>IF('Cleaned Data'!C209 = "North", 1, 0)</f>
        <v>0</v>
      </c>
      <c r="M209" s="21">
        <f>IF('Cleaned Data'!D209 = "Airport", 1, 0)</f>
        <v>0</v>
      </c>
      <c r="N209" s="21">
        <f>IF('Cleaned Data'!D209 = "High Street", 1,0)</f>
        <v>0</v>
      </c>
      <c r="O209" s="21">
        <f>IF('Cleaned Data'!D209 = "Mall", 1,0)</f>
        <v>1</v>
      </c>
    </row>
    <row r="210" spans="1:15">
      <c r="A210" s="13">
        <v>810446.53</v>
      </c>
      <c r="B210" s="14">
        <v>63457.19</v>
      </c>
      <c r="C210" s="14">
        <v>10125</v>
      </c>
      <c r="D210" s="14">
        <v>9.7000000000000003E-2</v>
      </c>
      <c r="E210" s="14">
        <v>24</v>
      </c>
      <c r="F210" s="14">
        <v>87</v>
      </c>
      <c r="G210" s="14">
        <v>3.84</v>
      </c>
      <c r="H210" s="14">
        <v>1</v>
      </c>
      <c r="I210" s="14">
        <v>3.7</v>
      </c>
      <c r="J210" s="21">
        <f>IF('Cleaned Data'!C210 = "East", 1, 0)</f>
        <v>1</v>
      </c>
      <c r="K210" s="21">
        <f>IF('Cleaned Data'!C210 = "West", 1, 0)</f>
        <v>0</v>
      </c>
      <c r="L210" s="21">
        <f>IF('Cleaned Data'!C210 = "North", 1, 0)</f>
        <v>0</v>
      </c>
      <c r="M210" s="21">
        <f>IF('Cleaned Data'!D210 = "Airport", 1, 0)</f>
        <v>0</v>
      </c>
      <c r="N210" s="21">
        <f>IF('Cleaned Data'!D210 = "High Street", 1,0)</f>
        <v>1</v>
      </c>
      <c r="O210" s="21">
        <f>IF('Cleaned Data'!D210 = "Mall", 1,0)</f>
        <v>0</v>
      </c>
    </row>
    <row r="211" spans="1:15">
      <c r="A211" s="13">
        <v>691288.19</v>
      </c>
      <c r="B211" s="14">
        <v>62949.7</v>
      </c>
      <c r="C211" s="14">
        <v>9458</v>
      </c>
      <c r="D211" s="14">
        <v>0.17100000000000001</v>
      </c>
      <c r="E211" s="14">
        <v>19</v>
      </c>
      <c r="F211" s="14">
        <v>84.9</v>
      </c>
      <c r="G211" s="14">
        <v>5.09</v>
      </c>
      <c r="H211" s="14">
        <v>0</v>
      </c>
      <c r="I211" s="14">
        <v>3.3</v>
      </c>
      <c r="J211" s="21">
        <f>IF('Cleaned Data'!C211 = "East", 1, 0)</f>
        <v>1</v>
      </c>
      <c r="K211" s="21">
        <f>IF('Cleaned Data'!C211 = "West", 1, 0)</f>
        <v>0</v>
      </c>
      <c r="L211" s="21">
        <f>IF('Cleaned Data'!C211 = "North", 1, 0)</f>
        <v>0</v>
      </c>
      <c r="M211" s="21">
        <f>IF('Cleaned Data'!D211 = "Airport", 1, 0)</f>
        <v>0</v>
      </c>
      <c r="N211" s="21">
        <f>IF('Cleaned Data'!D211 = "High Street", 1,0)</f>
        <v>1</v>
      </c>
      <c r="O211" s="21">
        <f>IF('Cleaned Data'!D211 = "Mall", 1,0)</f>
        <v>0</v>
      </c>
    </row>
    <row r="212" spans="1:15">
      <c r="A212" s="13">
        <v>946833.54</v>
      </c>
      <c r="B212" s="14">
        <v>107970.19</v>
      </c>
      <c r="C212" s="14">
        <v>12870</v>
      </c>
      <c r="D212" s="14">
        <v>2.9000000000000001E-2</v>
      </c>
      <c r="E212" s="14">
        <v>31</v>
      </c>
      <c r="F212" s="14">
        <v>91.7</v>
      </c>
      <c r="G212" s="14">
        <v>3.82</v>
      </c>
      <c r="H212" s="14">
        <v>1</v>
      </c>
      <c r="I212" s="14">
        <v>3.7</v>
      </c>
      <c r="J212" s="21">
        <f>IF('Cleaned Data'!C212 = "East", 1, 0)</f>
        <v>1</v>
      </c>
      <c r="K212" s="21">
        <f>IF('Cleaned Data'!C212 = "West", 1, 0)</f>
        <v>0</v>
      </c>
      <c r="L212" s="21">
        <f>IF('Cleaned Data'!C212 = "North", 1, 0)</f>
        <v>0</v>
      </c>
      <c r="M212" s="21">
        <f>IF('Cleaned Data'!D212 = "Airport", 1, 0)</f>
        <v>0</v>
      </c>
      <c r="N212" s="21">
        <f>IF('Cleaned Data'!D212 = "High Street", 1,0)</f>
        <v>1</v>
      </c>
      <c r="O212" s="21">
        <f>IF('Cleaned Data'!D212 = "Mall", 1,0)</f>
        <v>0</v>
      </c>
    </row>
    <row r="213" spans="1:15">
      <c r="A213" s="13">
        <v>761963.23</v>
      </c>
      <c r="B213" s="14">
        <v>49405.75</v>
      </c>
      <c r="C213" s="14">
        <v>9752</v>
      </c>
      <c r="D213" s="14">
        <v>9.2999999999999999E-2</v>
      </c>
      <c r="E213" s="14">
        <v>21</v>
      </c>
      <c r="F213" s="14">
        <v>87</v>
      </c>
      <c r="G213" s="14">
        <v>12.28</v>
      </c>
      <c r="H213" s="14">
        <v>0</v>
      </c>
      <c r="I213" s="14">
        <v>4.0999999999999996</v>
      </c>
      <c r="J213" s="21">
        <f>IF('Cleaned Data'!C213 = "East", 1, 0)</f>
        <v>1</v>
      </c>
      <c r="K213" s="21">
        <f>IF('Cleaned Data'!C213 = "West", 1, 0)</f>
        <v>0</v>
      </c>
      <c r="L213" s="21">
        <f>IF('Cleaned Data'!C213 = "North", 1, 0)</f>
        <v>0</v>
      </c>
      <c r="M213" s="21">
        <f>IF('Cleaned Data'!D213 = "Airport", 1, 0)</f>
        <v>0</v>
      </c>
      <c r="N213" s="21">
        <f>IF('Cleaned Data'!D213 = "High Street", 1,0)</f>
        <v>1</v>
      </c>
      <c r="O213" s="21">
        <f>IF('Cleaned Data'!D213 = "Mall", 1,0)</f>
        <v>0</v>
      </c>
    </row>
    <row r="214" spans="1:15">
      <c r="A214" s="13">
        <v>812152.6</v>
      </c>
      <c r="B214" s="14">
        <v>50887.46</v>
      </c>
      <c r="C214" s="14">
        <v>9505</v>
      </c>
      <c r="D214" s="14">
        <v>9.0999999999999998E-2</v>
      </c>
      <c r="E214" s="14">
        <v>25</v>
      </c>
      <c r="F214" s="14">
        <v>89.7</v>
      </c>
      <c r="G214" s="14">
        <v>2.8</v>
      </c>
      <c r="H214" s="14">
        <v>0</v>
      </c>
      <c r="I214" s="14">
        <v>4.3</v>
      </c>
      <c r="J214" s="21">
        <f>IF('Cleaned Data'!C214 = "East", 1, 0)</f>
        <v>0</v>
      </c>
      <c r="K214" s="21">
        <f>IF('Cleaned Data'!C214 = "West", 1, 0)</f>
        <v>1</v>
      </c>
      <c r="L214" s="21">
        <f>IF('Cleaned Data'!C214 = "North", 1, 0)</f>
        <v>0</v>
      </c>
      <c r="M214" s="21">
        <f>IF('Cleaned Data'!D214 = "Airport", 1, 0)</f>
        <v>0</v>
      </c>
      <c r="N214" s="21">
        <f>IF('Cleaned Data'!D214 = "High Street", 1,0)</f>
        <v>0</v>
      </c>
      <c r="O214" s="21">
        <f>IF('Cleaned Data'!D214 = "Mall", 1,0)</f>
        <v>0</v>
      </c>
    </row>
    <row r="215" spans="1:15">
      <c r="A215" s="13">
        <v>804975.5</v>
      </c>
      <c r="B215" s="14">
        <v>41819.449999999997</v>
      </c>
      <c r="C215" s="14">
        <v>9412</v>
      </c>
      <c r="D215" s="14">
        <v>0.15</v>
      </c>
      <c r="E215" s="14">
        <v>22</v>
      </c>
      <c r="F215" s="14">
        <v>91</v>
      </c>
      <c r="G215" s="14">
        <v>3.67</v>
      </c>
      <c r="H215" s="14">
        <v>0</v>
      </c>
      <c r="I215" s="14">
        <v>4.2</v>
      </c>
      <c r="J215" s="21">
        <f>IF('Cleaned Data'!C215 = "East", 1, 0)</f>
        <v>0</v>
      </c>
      <c r="K215" s="21">
        <f>IF('Cleaned Data'!C215 = "West", 1, 0)</f>
        <v>1</v>
      </c>
      <c r="L215" s="21">
        <f>IF('Cleaned Data'!C215 = "North", 1, 0)</f>
        <v>0</v>
      </c>
      <c r="M215" s="21">
        <f>IF('Cleaned Data'!D215 = "Airport", 1, 0)</f>
        <v>0</v>
      </c>
      <c r="N215" s="21">
        <f>IF('Cleaned Data'!D215 = "High Street", 1,0)</f>
        <v>0</v>
      </c>
      <c r="O215" s="21">
        <f>IF('Cleaned Data'!D215 = "Mall", 1,0)</f>
        <v>0</v>
      </c>
    </row>
    <row r="216" spans="1:15">
      <c r="A216" s="13">
        <v>752321.72</v>
      </c>
      <c r="B216" s="14">
        <v>35296.54</v>
      </c>
      <c r="C216" s="14">
        <v>9644</v>
      </c>
      <c r="D216" s="14">
        <v>0</v>
      </c>
      <c r="E216" s="14">
        <v>22</v>
      </c>
      <c r="F216" s="14">
        <v>88</v>
      </c>
      <c r="G216" s="14">
        <v>2.81</v>
      </c>
      <c r="H216" s="14">
        <v>0</v>
      </c>
      <c r="I216" s="14">
        <v>4.7</v>
      </c>
      <c r="J216" s="21">
        <f>IF('Cleaned Data'!C216 = "East", 1, 0)</f>
        <v>0</v>
      </c>
      <c r="K216" s="21">
        <f>IF('Cleaned Data'!C216 = "West", 1, 0)</f>
        <v>1</v>
      </c>
      <c r="L216" s="21">
        <f>IF('Cleaned Data'!C216 = "North", 1, 0)</f>
        <v>0</v>
      </c>
      <c r="M216" s="21">
        <f>IF('Cleaned Data'!D216 = "Airport", 1, 0)</f>
        <v>0</v>
      </c>
      <c r="N216" s="21">
        <f>IF('Cleaned Data'!D216 = "High Street", 1,0)</f>
        <v>0</v>
      </c>
      <c r="O216" s="21">
        <f>IF('Cleaned Data'!D216 = "Mall", 1,0)</f>
        <v>0</v>
      </c>
    </row>
    <row r="217" spans="1:15">
      <c r="A217" s="13">
        <v>836908.24</v>
      </c>
      <c r="B217" s="14">
        <v>47391.09</v>
      </c>
      <c r="C217" s="14">
        <v>11224</v>
      </c>
      <c r="D217" s="14">
        <v>0.14699999999999999</v>
      </c>
      <c r="E217" s="14">
        <v>25</v>
      </c>
      <c r="F217" s="14">
        <v>88.4</v>
      </c>
      <c r="G217" s="14">
        <v>2.44</v>
      </c>
      <c r="H217" s="14">
        <v>0</v>
      </c>
      <c r="I217" s="14">
        <v>4.9000000000000004</v>
      </c>
      <c r="J217" s="21">
        <f>IF('Cleaned Data'!C217 = "East", 1, 0)</f>
        <v>0</v>
      </c>
      <c r="K217" s="21">
        <f>IF('Cleaned Data'!C217 = "West", 1, 0)</f>
        <v>1</v>
      </c>
      <c r="L217" s="21">
        <f>IF('Cleaned Data'!C217 = "North", 1, 0)</f>
        <v>0</v>
      </c>
      <c r="M217" s="21">
        <f>IF('Cleaned Data'!D217 = "Airport", 1, 0)</f>
        <v>0</v>
      </c>
      <c r="N217" s="21">
        <f>IF('Cleaned Data'!D217 = "High Street", 1,0)</f>
        <v>0</v>
      </c>
      <c r="O217" s="21">
        <f>IF('Cleaned Data'!D217 = "Mall", 1,0)</f>
        <v>0</v>
      </c>
    </row>
    <row r="218" spans="1:15">
      <c r="A218" s="13">
        <v>674289.1</v>
      </c>
      <c r="B218" s="14">
        <v>69180.539999999994</v>
      </c>
      <c r="C218" s="14">
        <v>5394</v>
      </c>
      <c r="D218" s="14">
        <v>0.126</v>
      </c>
      <c r="E218" s="14">
        <v>12</v>
      </c>
      <c r="F218" s="14">
        <v>82.9</v>
      </c>
      <c r="G218" s="14">
        <v>3.27</v>
      </c>
      <c r="H218" s="14">
        <v>0</v>
      </c>
      <c r="I218" s="14">
        <v>3.3</v>
      </c>
      <c r="J218" s="21">
        <f>IF('Cleaned Data'!C218 = "East", 1, 0)</f>
        <v>0</v>
      </c>
      <c r="K218" s="21">
        <f>IF('Cleaned Data'!C218 = "West", 1, 0)</f>
        <v>0</v>
      </c>
      <c r="L218" s="21">
        <f>IF('Cleaned Data'!C218 = "North", 1, 0)</f>
        <v>1</v>
      </c>
      <c r="M218" s="21">
        <f>IF('Cleaned Data'!D218 = "Airport", 1, 0)</f>
        <v>1</v>
      </c>
      <c r="N218" s="21">
        <f>IF('Cleaned Data'!D218 = "High Street", 1,0)</f>
        <v>0</v>
      </c>
      <c r="O218" s="21">
        <f>IF('Cleaned Data'!D218 = "Mall", 1,0)</f>
        <v>0</v>
      </c>
    </row>
    <row r="219" spans="1:15">
      <c r="A219" s="13">
        <v>622892.42000000004</v>
      </c>
      <c r="B219" s="14">
        <v>33987.33</v>
      </c>
      <c r="C219" s="14">
        <v>5014</v>
      </c>
      <c r="D219" s="14">
        <v>0.246</v>
      </c>
      <c r="E219" s="14">
        <v>17</v>
      </c>
      <c r="F219" s="14">
        <v>94.3</v>
      </c>
      <c r="G219" s="14">
        <v>10.34</v>
      </c>
      <c r="H219" s="14">
        <v>0</v>
      </c>
      <c r="I219" s="14">
        <v>3.9</v>
      </c>
      <c r="J219" s="21">
        <f>IF('Cleaned Data'!C219 = "East", 1, 0)</f>
        <v>0</v>
      </c>
      <c r="K219" s="21">
        <f>IF('Cleaned Data'!C219 = "West", 1, 0)</f>
        <v>0</v>
      </c>
      <c r="L219" s="21">
        <f>IF('Cleaned Data'!C219 = "North", 1, 0)</f>
        <v>1</v>
      </c>
      <c r="M219" s="21">
        <f>IF('Cleaned Data'!D219 = "Airport", 1, 0)</f>
        <v>1</v>
      </c>
      <c r="N219" s="21">
        <f>IF('Cleaned Data'!D219 = "High Street", 1,0)</f>
        <v>0</v>
      </c>
      <c r="O219" s="21">
        <f>IF('Cleaned Data'!D219 = "Mall", 1,0)</f>
        <v>0</v>
      </c>
    </row>
    <row r="220" spans="1:15">
      <c r="A220" s="13">
        <v>673348.56</v>
      </c>
      <c r="B220" s="14">
        <v>58785.33</v>
      </c>
      <c r="C220" s="14">
        <v>4467</v>
      </c>
      <c r="D220" s="14">
        <v>0.22900000000000001</v>
      </c>
      <c r="E220" s="14">
        <v>14</v>
      </c>
      <c r="F220" s="14">
        <v>90.7</v>
      </c>
      <c r="G220" s="14">
        <v>1.92</v>
      </c>
      <c r="H220" s="14">
        <v>0</v>
      </c>
      <c r="I220" s="14">
        <v>3.7</v>
      </c>
      <c r="J220" s="21">
        <f>IF('Cleaned Data'!C220 = "East", 1, 0)</f>
        <v>0</v>
      </c>
      <c r="K220" s="21">
        <f>IF('Cleaned Data'!C220 = "West", 1, 0)</f>
        <v>0</v>
      </c>
      <c r="L220" s="21">
        <f>IF('Cleaned Data'!C220 = "North", 1, 0)</f>
        <v>1</v>
      </c>
      <c r="M220" s="21">
        <f>IF('Cleaned Data'!D220 = "Airport", 1, 0)</f>
        <v>1</v>
      </c>
      <c r="N220" s="21">
        <f>IF('Cleaned Data'!D220 = "High Street", 1,0)</f>
        <v>0</v>
      </c>
      <c r="O220" s="21">
        <f>IF('Cleaned Data'!D220 = "Mall", 1,0)</f>
        <v>0</v>
      </c>
    </row>
    <row r="221" spans="1:15">
      <c r="A221" s="13">
        <v>606278.30000000005</v>
      </c>
      <c r="B221" s="14">
        <v>16451.849999999999</v>
      </c>
      <c r="C221" s="14">
        <v>4678</v>
      </c>
      <c r="D221" s="14">
        <v>0.13300000000000001</v>
      </c>
      <c r="E221" s="14">
        <v>11</v>
      </c>
      <c r="F221" s="14">
        <v>95.9</v>
      </c>
      <c r="G221" s="14">
        <v>3.1</v>
      </c>
      <c r="H221" s="14">
        <v>0</v>
      </c>
      <c r="I221" s="14">
        <v>3.9</v>
      </c>
      <c r="J221" s="21">
        <f>IF('Cleaned Data'!C221 = "East", 1, 0)</f>
        <v>0</v>
      </c>
      <c r="K221" s="21">
        <f>IF('Cleaned Data'!C221 = "West", 1, 0)</f>
        <v>0</v>
      </c>
      <c r="L221" s="21">
        <f>IF('Cleaned Data'!C221 = "North", 1, 0)</f>
        <v>1</v>
      </c>
      <c r="M221" s="21">
        <f>IF('Cleaned Data'!D221 = "Airport", 1, 0)</f>
        <v>1</v>
      </c>
      <c r="N221" s="21">
        <f>IF('Cleaned Data'!D221 = "High Street", 1,0)</f>
        <v>0</v>
      </c>
      <c r="O221" s="21">
        <f>IF('Cleaned Data'!D221 = "Mall", 1,0)</f>
        <v>0</v>
      </c>
    </row>
    <row r="222" spans="1:15">
      <c r="A222" s="13">
        <v>712219.81</v>
      </c>
      <c r="B222" s="14">
        <v>53367.73</v>
      </c>
      <c r="C222" s="14">
        <v>7291</v>
      </c>
      <c r="D222" s="14">
        <v>0.14599999999999999</v>
      </c>
      <c r="E222" s="14">
        <v>18</v>
      </c>
      <c r="F222" s="14">
        <v>90.6</v>
      </c>
      <c r="G222" s="14">
        <v>6.34</v>
      </c>
      <c r="H222" s="14">
        <v>1</v>
      </c>
      <c r="I222" s="14">
        <v>3.8</v>
      </c>
      <c r="J222" s="21">
        <f>IF('Cleaned Data'!C222 = "East", 1, 0)</f>
        <v>1</v>
      </c>
      <c r="K222" s="21">
        <f>IF('Cleaned Data'!C222 = "West", 1, 0)</f>
        <v>0</v>
      </c>
      <c r="L222" s="21">
        <f>IF('Cleaned Data'!C222 = "North", 1, 0)</f>
        <v>0</v>
      </c>
      <c r="M222" s="21">
        <f>IF('Cleaned Data'!D222 = "Airport", 1, 0)</f>
        <v>0</v>
      </c>
      <c r="N222" s="21">
        <f>IF('Cleaned Data'!D222 = "High Street", 1,0)</f>
        <v>1</v>
      </c>
      <c r="O222" s="21">
        <f>IF('Cleaned Data'!D222 = "Mall", 1,0)</f>
        <v>0</v>
      </c>
    </row>
    <row r="223" spans="1:15">
      <c r="A223" s="13">
        <v>672670.54</v>
      </c>
      <c r="B223" s="14">
        <v>27194.639999999999</v>
      </c>
      <c r="C223" s="14">
        <v>7404</v>
      </c>
      <c r="D223" s="14">
        <v>8.7999999999999995E-2</v>
      </c>
      <c r="E223" s="14">
        <v>18</v>
      </c>
      <c r="F223" s="14">
        <v>90.2</v>
      </c>
      <c r="G223" s="14">
        <v>1.2</v>
      </c>
      <c r="H223" s="14">
        <v>0</v>
      </c>
      <c r="I223" s="14">
        <v>3.4</v>
      </c>
      <c r="J223" s="21">
        <f>IF('Cleaned Data'!C223 = "East", 1, 0)</f>
        <v>1</v>
      </c>
      <c r="K223" s="21">
        <f>IF('Cleaned Data'!C223 = "West", 1, 0)</f>
        <v>0</v>
      </c>
      <c r="L223" s="21">
        <f>IF('Cleaned Data'!C223 = "North", 1, 0)</f>
        <v>0</v>
      </c>
      <c r="M223" s="21">
        <f>IF('Cleaned Data'!D223 = "Airport", 1, 0)</f>
        <v>0</v>
      </c>
      <c r="N223" s="21">
        <f>IF('Cleaned Data'!D223 = "High Street", 1,0)</f>
        <v>1</v>
      </c>
      <c r="O223" s="21">
        <f>IF('Cleaned Data'!D223 = "Mall", 1,0)</f>
        <v>0</v>
      </c>
    </row>
    <row r="224" spans="1:15">
      <c r="A224" s="13">
        <v>732667.92</v>
      </c>
      <c r="B224" s="14">
        <v>66962.740000000005</v>
      </c>
      <c r="C224" s="14">
        <v>7880</v>
      </c>
      <c r="D224" s="14">
        <v>0.11600000000000001</v>
      </c>
      <c r="E224" s="14">
        <v>19</v>
      </c>
      <c r="F224" s="14">
        <v>90.4</v>
      </c>
      <c r="G224" s="14">
        <v>4.5</v>
      </c>
      <c r="H224" s="14">
        <v>0</v>
      </c>
      <c r="I224" s="14">
        <v>3.3</v>
      </c>
      <c r="J224" s="21">
        <f>IF('Cleaned Data'!C224 = "East", 1, 0)</f>
        <v>1</v>
      </c>
      <c r="K224" s="21">
        <f>IF('Cleaned Data'!C224 = "West", 1, 0)</f>
        <v>0</v>
      </c>
      <c r="L224" s="21">
        <f>IF('Cleaned Data'!C224 = "North", 1, 0)</f>
        <v>0</v>
      </c>
      <c r="M224" s="21">
        <f>IF('Cleaned Data'!D224 = "Airport", 1, 0)</f>
        <v>0</v>
      </c>
      <c r="N224" s="21">
        <f>IF('Cleaned Data'!D224 = "High Street", 1,0)</f>
        <v>1</v>
      </c>
      <c r="O224" s="21">
        <f>IF('Cleaned Data'!D224 = "Mall", 1,0)</f>
        <v>0</v>
      </c>
    </row>
    <row r="225" spans="1:15">
      <c r="A225" s="13">
        <v>723531.4</v>
      </c>
      <c r="B225" s="14">
        <v>73540.990000000005</v>
      </c>
      <c r="C225" s="14">
        <v>8773</v>
      </c>
      <c r="D225" s="14">
        <v>3.5000000000000003E-2</v>
      </c>
      <c r="E225" s="14">
        <v>21</v>
      </c>
      <c r="F225" s="14">
        <v>84.4</v>
      </c>
      <c r="G225" s="14">
        <v>6.68</v>
      </c>
      <c r="H225" s="14">
        <v>0</v>
      </c>
      <c r="I225" s="14">
        <v>3.6</v>
      </c>
      <c r="J225" s="21">
        <f>IF('Cleaned Data'!C225 = "East", 1, 0)</f>
        <v>1</v>
      </c>
      <c r="K225" s="21">
        <f>IF('Cleaned Data'!C225 = "West", 1, 0)</f>
        <v>0</v>
      </c>
      <c r="L225" s="21">
        <f>IF('Cleaned Data'!C225 = "North", 1, 0)</f>
        <v>0</v>
      </c>
      <c r="M225" s="21">
        <f>IF('Cleaned Data'!D225 = "Airport", 1, 0)</f>
        <v>0</v>
      </c>
      <c r="N225" s="21">
        <f>IF('Cleaned Data'!D225 = "High Street", 1,0)</f>
        <v>1</v>
      </c>
      <c r="O225" s="21">
        <f>IF('Cleaned Data'!D225 = "Mall", 1,0)</f>
        <v>0</v>
      </c>
    </row>
    <row r="226" spans="1:15">
      <c r="A226" s="13">
        <v>641564.6</v>
      </c>
      <c r="B226" s="14">
        <v>68212.289999999994</v>
      </c>
      <c r="C226" s="14">
        <v>4713</v>
      </c>
      <c r="D226" s="14">
        <v>0.19800000000000001</v>
      </c>
      <c r="E226" s="14">
        <v>15</v>
      </c>
      <c r="F226" s="14">
        <v>82.6</v>
      </c>
      <c r="G226" s="14">
        <v>4.07</v>
      </c>
      <c r="H226" s="14">
        <v>1</v>
      </c>
      <c r="I226" s="14">
        <v>3</v>
      </c>
      <c r="J226" s="21">
        <f>IF('Cleaned Data'!C226 = "East", 1, 0)</f>
        <v>1</v>
      </c>
      <c r="K226" s="21">
        <f>IF('Cleaned Data'!C226 = "West", 1, 0)</f>
        <v>0</v>
      </c>
      <c r="L226" s="21">
        <f>IF('Cleaned Data'!C226 = "North", 1, 0)</f>
        <v>0</v>
      </c>
      <c r="M226" s="21">
        <f>IF('Cleaned Data'!D226 = "Airport", 1, 0)</f>
        <v>0</v>
      </c>
      <c r="N226" s="21">
        <f>IF('Cleaned Data'!D226 = "High Street", 1,0)</f>
        <v>0</v>
      </c>
      <c r="O226" s="21">
        <f>IF('Cleaned Data'!D226 = "Mall", 1,0)</f>
        <v>1</v>
      </c>
    </row>
    <row r="227" spans="1:15">
      <c r="A227" s="13">
        <v>536545.49</v>
      </c>
      <c r="B227" s="14">
        <v>57225.98</v>
      </c>
      <c r="C227" s="14">
        <v>2842</v>
      </c>
      <c r="D227" s="14">
        <v>0.112</v>
      </c>
      <c r="E227" s="14">
        <v>10</v>
      </c>
      <c r="F227" s="14">
        <v>79.5</v>
      </c>
      <c r="G227" s="14">
        <v>5.45</v>
      </c>
      <c r="H227" s="14">
        <v>0</v>
      </c>
      <c r="I227" s="14">
        <v>3.4</v>
      </c>
      <c r="J227" s="21">
        <f>IF('Cleaned Data'!C227 = "East", 1, 0)</f>
        <v>1</v>
      </c>
      <c r="K227" s="21">
        <f>IF('Cleaned Data'!C227 = "West", 1, 0)</f>
        <v>0</v>
      </c>
      <c r="L227" s="21">
        <f>IF('Cleaned Data'!C227 = "North", 1, 0)</f>
        <v>0</v>
      </c>
      <c r="M227" s="21">
        <f>IF('Cleaned Data'!D227 = "Airport", 1, 0)</f>
        <v>0</v>
      </c>
      <c r="N227" s="21">
        <f>IF('Cleaned Data'!D227 = "High Street", 1,0)</f>
        <v>0</v>
      </c>
      <c r="O227" s="21">
        <f>IF('Cleaned Data'!D227 = "Mall", 1,0)</f>
        <v>1</v>
      </c>
    </row>
    <row r="228" spans="1:15">
      <c r="A228" s="13">
        <v>527681.56000000006</v>
      </c>
      <c r="B228" s="14">
        <v>42932.02</v>
      </c>
      <c r="C228" s="14">
        <v>3872</v>
      </c>
      <c r="D228" s="14">
        <v>0.17100000000000001</v>
      </c>
      <c r="E228" s="14">
        <v>12</v>
      </c>
      <c r="F228" s="14">
        <v>83.2</v>
      </c>
      <c r="G228" s="14">
        <v>15.58</v>
      </c>
      <c r="H228" s="14">
        <v>0</v>
      </c>
      <c r="I228" s="14">
        <v>3.3</v>
      </c>
      <c r="J228" s="21">
        <f>IF('Cleaned Data'!C228 = "East", 1, 0)</f>
        <v>1</v>
      </c>
      <c r="K228" s="21">
        <f>IF('Cleaned Data'!C228 = "West", 1, 0)</f>
        <v>0</v>
      </c>
      <c r="L228" s="21">
        <f>IF('Cleaned Data'!C228 = "North", 1, 0)</f>
        <v>0</v>
      </c>
      <c r="M228" s="21">
        <f>IF('Cleaned Data'!D228 = "Airport", 1, 0)</f>
        <v>0</v>
      </c>
      <c r="N228" s="21">
        <f>IF('Cleaned Data'!D228 = "High Street", 1,0)</f>
        <v>0</v>
      </c>
      <c r="O228" s="21">
        <f>IF('Cleaned Data'!D228 = "Mall", 1,0)</f>
        <v>1</v>
      </c>
    </row>
    <row r="229" spans="1:15">
      <c r="A229" s="13">
        <v>529598.93999999994</v>
      </c>
      <c r="B229" s="14">
        <v>39341.449999999997</v>
      </c>
      <c r="C229" s="14">
        <v>1375</v>
      </c>
      <c r="D229" s="14">
        <v>9.2999999999999999E-2</v>
      </c>
      <c r="E229" s="14">
        <v>5</v>
      </c>
      <c r="F229" s="14">
        <v>95</v>
      </c>
      <c r="G229" s="14">
        <v>5.32</v>
      </c>
      <c r="H229" s="14">
        <v>0</v>
      </c>
      <c r="I229" s="14">
        <v>3.9</v>
      </c>
      <c r="J229" s="21">
        <f>IF('Cleaned Data'!C229 = "East", 1, 0)</f>
        <v>1</v>
      </c>
      <c r="K229" s="21">
        <f>IF('Cleaned Data'!C229 = "West", 1, 0)</f>
        <v>0</v>
      </c>
      <c r="L229" s="21">
        <f>IF('Cleaned Data'!C229 = "North", 1, 0)</f>
        <v>0</v>
      </c>
      <c r="M229" s="21">
        <f>IF('Cleaned Data'!D229 = "Airport", 1, 0)</f>
        <v>0</v>
      </c>
      <c r="N229" s="21">
        <f>IF('Cleaned Data'!D229 = "High Street", 1,0)</f>
        <v>0</v>
      </c>
      <c r="O229" s="21">
        <f>IF('Cleaned Data'!D229 = "Mall", 1,0)</f>
        <v>1</v>
      </c>
    </row>
    <row r="230" spans="1:15">
      <c r="A230" s="13">
        <v>570963.31000000006</v>
      </c>
      <c r="B230" s="14">
        <v>37324.230000000003</v>
      </c>
      <c r="C230" s="14">
        <v>5957</v>
      </c>
      <c r="D230" s="14">
        <v>7.0999999999999994E-2</v>
      </c>
      <c r="E230" s="14">
        <v>12</v>
      </c>
      <c r="F230" s="14">
        <v>85.9</v>
      </c>
      <c r="G230" s="14">
        <v>0.37</v>
      </c>
      <c r="H230" s="14">
        <v>0</v>
      </c>
      <c r="I230" s="14">
        <v>3.8</v>
      </c>
      <c r="J230" s="21">
        <f>IF('Cleaned Data'!C230 = "East", 1, 0)</f>
        <v>1</v>
      </c>
      <c r="K230" s="21">
        <f>IF('Cleaned Data'!C230 = "West", 1, 0)</f>
        <v>0</v>
      </c>
      <c r="L230" s="21">
        <f>IF('Cleaned Data'!C230 = "North", 1, 0)</f>
        <v>0</v>
      </c>
      <c r="M230" s="21">
        <f>IF('Cleaned Data'!D230 = "Airport", 1, 0)</f>
        <v>0</v>
      </c>
      <c r="N230" s="21">
        <f>IF('Cleaned Data'!D230 = "High Street", 1,0)</f>
        <v>1</v>
      </c>
      <c r="O230" s="21">
        <f>IF('Cleaned Data'!D230 = "Mall", 1,0)</f>
        <v>0</v>
      </c>
    </row>
    <row r="231" spans="1:15">
      <c r="A231" s="13">
        <v>870937.4</v>
      </c>
      <c r="B231" s="14">
        <v>113736</v>
      </c>
      <c r="C231" s="14">
        <v>8961</v>
      </c>
      <c r="D231" s="14">
        <v>0.20200000000000001</v>
      </c>
      <c r="E231" s="14">
        <v>24</v>
      </c>
      <c r="F231" s="14">
        <v>86.2</v>
      </c>
      <c r="G231" s="14">
        <v>21.63</v>
      </c>
      <c r="H231" s="14">
        <v>0</v>
      </c>
      <c r="I231" s="14">
        <v>4</v>
      </c>
      <c r="J231" s="21">
        <f>IF('Cleaned Data'!C231 = "East", 1, 0)</f>
        <v>1</v>
      </c>
      <c r="K231" s="21">
        <f>IF('Cleaned Data'!C231 = "West", 1, 0)</f>
        <v>0</v>
      </c>
      <c r="L231" s="21">
        <f>IF('Cleaned Data'!C231 = "North", 1, 0)</f>
        <v>0</v>
      </c>
      <c r="M231" s="21">
        <f>IF('Cleaned Data'!D231 = "Airport", 1, 0)</f>
        <v>0</v>
      </c>
      <c r="N231" s="21">
        <f>IF('Cleaned Data'!D231 = "High Street", 1,0)</f>
        <v>1</v>
      </c>
      <c r="O231" s="21">
        <f>IF('Cleaned Data'!D231 = "Mall", 1,0)</f>
        <v>0</v>
      </c>
    </row>
    <row r="232" spans="1:15">
      <c r="A232" s="13">
        <v>596969.27</v>
      </c>
      <c r="B232" s="14">
        <v>33173.949999999997</v>
      </c>
      <c r="C232" s="14">
        <v>6545</v>
      </c>
      <c r="D232" s="14">
        <v>0.16900000000000001</v>
      </c>
      <c r="E232" s="14">
        <v>15</v>
      </c>
      <c r="F232" s="14">
        <v>84.4</v>
      </c>
      <c r="G232" s="14">
        <v>2.48</v>
      </c>
      <c r="H232" s="14">
        <v>0</v>
      </c>
      <c r="I232" s="14">
        <v>3.9</v>
      </c>
      <c r="J232" s="21">
        <f>IF('Cleaned Data'!C232 = "East", 1, 0)</f>
        <v>1</v>
      </c>
      <c r="K232" s="21">
        <f>IF('Cleaned Data'!C232 = "West", 1, 0)</f>
        <v>0</v>
      </c>
      <c r="L232" s="21">
        <f>IF('Cleaned Data'!C232 = "North", 1, 0)</f>
        <v>0</v>
      </c>
      <c r="M232" s="21">
        <f>IF('Cleaned Data'!D232 = "Airport", 1, 0)</f>
        <v>0</v>
      </c>
      <c r="N232" s="21">
        <f>IF('Cleaned Data'!D232 = "High Street", 1,0)</f>
        <v>1</v>
      </c>
      <c r="O232" s="21">
        <f>IF('Cleaned Data'!D232 = "Mall", 1,0)</f>
        <v>0</v>
      </c>
    </row>
    <row r="233" spans="1:15">
      <c r="A233" s="13">
        <v>647512.85</v>
      </c>
      <c r="B233" s="14">
        <v>25818.080000000002</v>
      </c>
      <c r="C233" s="14">
        <v>5457</v>
      </c>
      <c r="D233" s="14">
        <v>0</v>
      </c>
      <c r="E233" s="14">
        <v>11</v>
      </c>
      <c r="F233" s="14">
        <v>95.4</v>
      </c>
      <c r="G233" s="14">
        <v>3.3650000000000002</v>
      </c>
      <c r="H233" s="14">
        <v>0</v>
      </c>
      <c r="I233" s="14">
        <v>3.7</v>
      </c>
      <c r="J233" s="21">
        <f>IF('Cleaned Data'!C233 = "East", 1, 0)</f>
        <v>1</v>
      </c>
      <c r="K233" s="21">
        <f>IF('Cleaned Data'!C233 = "West", 1, 0)</f>
        <v>0</v>
      </c>
      <c r="L233" s="21">
        <f>IF('Cleaned Data'!C233 = "North", 1, 0)</f>
        <v>0</v>
      </c>
      <c r="M233" s="21">
        <f>IF('Cleaned Data'!D233 = "Airport", 1, 0)</f>
        <v>0</v>
      </c>
      <c r="N233" s="21">
        <f>IF('Cleaned Data'!D233 = "High Street", 1,0)</f>
        <v>1</v>
      </c>
      <c r="O233" s="21">
        <f>IF('Cleaned Data'!D233 = "Mall", 1,0)</f>
        <v>0</v>
      </c>
    </row>
    <row r="234" spans="1:15">
      <c r="A234" s="13">
        <v>658072.14</v>
      </c>
      <c r="B234" s="14">
        <v>47241.919999999998</v>
      </c>
      <c r="C234" s="14">
        <v>4264</v>
      </c>
      <c r="D234" s="14">
        <v>6.9000000000000006E-2</v>
      </c>
      <c r="E234" s="14">
        <v>13</v>
      </c>
      <c r="F234" s="14">
        <v>95.3</v>
      </c>
      <c r="G234" s="14">
        <v>0.85</v>
      </c>
      <c r="H234" s="14">
        <v>0</v>
      </c>
      <c r="I234" s="14">
        <v>4.3</v>
      </c>
      <c r="J234" s="21">
        <f>IF('Cleaned Data'!C234 = "East", 1, 0)</f>
        <v>0</v>
      </c>
      <c r="K234" s="21">
        <f>IF('Cleaned Data'!C234 = "West", 1, 0)</f>
        <v>1</v>
      </c>
      <c r="L234" s="21">
        <f>IF('Cleaned Data'!C234 = "North", 1, 0)</f>
        <v>0</v>
      </c>
      <c r="M234" s="21">
        <f>IF('Cleaned Data'!D234 = "Airport", 1, 0)</f>
        <v>0</v>
      </c>
      <c r="N234" s="21">
        <f>IF('Cleaned Data'!D234 = "High Street", 1,0)</f>
        <v>0</v>
      </c>
      <c r="O234" s="21">
        <f>IF('Cleaned Data'!D234 = "Mall", 1,0)</f>
        <v>0</v>
      </c>
    </row>
    <row r="235" spans="1:15">
      <c r="A235" s="13">
        <v>723305.11</v>
      </c>
      <c r="B235" s="14">
        <v>61650.79</v>
      </c>
      <c r="C235" s="14">
        <v>5321</v>
      </c>
      <c r="D235" s="14">
        <v>0.126</v>
      </c>
      <c r="E235" s="14">
        <v>17</v>
      </c>
      <c r="F235" s="14">
        <v>89.2</v>
      </c>
      <c r="G235" s="14">
        <v>2.13</v>
      </c>
      <c r="H235" s="14">
        <v>0</v>
      </c>
      <c r="I235" s="14">
        <v>4</v>
      </c>
      <c r="J235" s="21">
        <f>IF('Cleaned Data'!C235 = "East", 1, 0)</f>
        <v>0</v>
      </c>
      <c r="K235" s="21">
        <f>IF('Cleaned Data'!C235 = "West", 1, 0)</f>
        <v>1</v>
      </c>
      <c r="L235" s="21">
        <f>IF('Cleaned Data'!C235 = "North", 1, 0)</f>
        <v>0</v>
      </c>
      <c r="M235" s="21">
        <f>IF('Cleaned Data'!D235 = "Airport", 1, 0)</f>
        <v>0</v>
      </c>
      <c r="N235" s="21">
        <f>IF('Cleaned Data'!D235 = "High Street", 1,0)</f>
        <v>0</v>
      </c>
      <c r="O235" s="21">
        <f>IF('Cleaned Data'!D235 = "Mall", 1,0)</f>
        <v>0</v>
      </c>
    </row>
    <row r="236" spans="1:15">
      <c r="A236" s="13">
        <v>640666.53</v>
      </c>
      <c r="B236" s="14">
        <v>62582.71</v>
      </c>
      <c r="C236" s="14">
        <v>5479</v>
      </c>
      <c r="D236" s="14">
        <v>4.8000000000000001E-2</v>
      </c>
      <c r="E236" s="14">
        <v>16</v>
      </c>
      <c r="F236" s="14">
        <v>81.2</v>
      </c>
      <c r="G236" s="14">
        <v>1.46</v>
      </c>
      <c r="H236" s="14">
        <v>0</v>
      </c>
      <c r="I236" s="14">
        <v>4.5</v>
      </c>
      <c r="J236" s="21">
        <f>IF('Cleaned Data'!C236 = "East", 1, 0)</f>
        <v>0</v>
      </c>
      <c r="K236" s="21">
        <f>IF('Cleaned Data'!C236 = "West", 1, 0)</f>
        <v>1</v>
      </c>
      <c r="L236" s="21">
        <f>IF('Cleaned Data'!C236 = "North", 1, 0)</f>
        <v>0</v>
      </c>
      <c r="M236" s="21">
        <f>IF('Cleaned Data'!D236 = "Airport", 1, 0)</f>
        <v>0</v>
      </c>
      <c r="N236" s="21">
        <f>IF('Cleaned Data'!D236 = "High Street", 1,0)</f>
        <v>0</v>
      </c>
      <c r="O236" s="21">
        <f>IF('Cleaned Data'!D236 = "Mall", 1,0)</f>
        <v>0</v>
      </c>
    </row>
    <row r="237" spans="1:15">
      <c r="A237" s="13">
        <v>670629.48</v>
      </c>
      <c r="B237" s="14">
        <v>47944.14</v>
      </c>
      <c r="C237" s="14">
        <v>6169</v>
      </c>
      <c r="D237" s="14">
        <v>0.11899999999999999</v>
      </c>
      <c r="E237" s="14">
        <v>17</v>
      </c>
      <c r="F237" s="14">
        <v>92.2</v>
      </c>
      <c r="G237" s="14">
        <v>3.02</v>
      </c>
      <c r="H237" s="14">
        <v>0</v>
      </c>
      <c r="I237" s="14">
        <v>4.0999999999999996</v>
      </c>
      <c r="J237" s="21">
        <f>IF('Cleaned Data'!C237 = "East", 1, 0)</f>
        <v>0</v>
      </c>
      <c r="K237" s="21">
        <f>IF('Cleaned Data'!C237 = "West", 1, 0)</f>
        <v>1</v>
      </c>
      <c r="L237" s="21">
        <f>IF('Cleaned Data'!C237 = "North", 1, 0)</f>
        <v>0</v>
      </c>
      <c r="M237" s="21">
        <f>IF('Cleaned Data'!D237 = "Airport", 1, 0)</f>
        <v>0</v>
      </c>
      <c r="N237" s="21">
        <f>IF('Cleaned Data'!D237 = "High Street", 1,0)</f>
        <v>0</v>
      </c>
      <c r="O237" s="21">
        <f>IF('Cleaned Data'!D237 = "Mall", 1,0)</f>
        <v>0</v>
      </c>
    </row>
    <row r="238" spans="1:15">
      <c r="A238" s="13">
        <v>721079.35</v>
      </c>
      <c r="B238" s="14">
        <v>46495.4</v>
      </c>
      <c r="C238" s="14">
        <v>9908</v>
      </c>
      <c r="D238" s="14">
        <v>0.121</v>
      </c>
      <c r="E238" s="14">
        <v>22</v>
      </c>
      <c r="F238" s="14">
        <v>89.4</v>
      </c>
      <c r="G238" s="14">
        <v>3.22</v>
      </c>
      <c r="H238" s="14">
        <v>0</v>
      </c>
      <c r="I238" s="14">
        <v>3.7</v>
      </c>
      <c r="J238" s="21">
        <f>IF('Cleaned Data'!C238 = "East", 1, 0)</f>
        <v>0</v>
      </c>
      <c r="K238" s="21">
        <f>IF('Cleaned Data'!C238 = "West", 1, 0)</f>
        <v>1</v>
      </c>
      <c r="L238" s="21">
        <f>IF('Cleaned Data'!C238 = "North", 1, 0)</f>
        <v>0</v>
      </c>
      <c r="M238" s="21">
        <f>IF('Cleaned Data'!D238 = "Airport", 1, 0)</f>
        <v>0</v>
      </c>
      <c r="N238" s="21">
        <f>IF('Cleaned Data'!D238 = "High Street", 1,0)</f>
        <v>0</v>
      </c>
      <c r="O238" s="21">
        <f>IF('Cleaned Data'!D238 = "Mall", 1,0)</f>
        <v>1</v>
      </c>
    </row>
    <row r="239" spans="1:15">
      <c r="A239" s="13">
        <v>810355.02</v>
      </c>
      <c r="B239" s="14">
        <v>72961.95</v>
      </c>
      <c r="C239" s="14">
        <v>9996</v>
      </c>
      <c r="D239" s="14">
        <v>0.106</v>
      </c>
      <c r="E239" s="14">
        <v>22</v>
      </c>
      <c r="F239" s="14">
        <v>89.1</v>
      </c>
      <c r="G239" s="14">
        <v>15.66</v>
      </c>
      <c r="H239" s="14">
        <v>0</v>
      </c>
      <c r="I239" s="14">
        <v>3.4</v>
      </c>
      <c r="J239" s="21">
        <f>IF('Cleaned Data'!C239 = "East", 1, 0)</f>
        <v>0</v>
      </c>
      <c r="K239" s="21">
        <f>IF('Cleaned Data'!C239 = "West", 1, 0)</f>
        <v>1</v>
      </c>
      <c r="L239" s="21">
        <f>IF('Cleaned Data'!C239 = "North", 1, 0)</f>
        <v>0</v>
      </c>
      <c r="M239" s="21">
        <f>IF('Cleaned Data'!D239 = "Airport", 1, 0)</f>
        <v>0</v>
      </c>
      <c r="N239" s="21">
        <f>IF('Cleaned Data'!D239 = "High Street", 1,0)</f>
        <v>0</v>
      </c>
      <c r="O239" s="21">
        <f>IF('Cleaned Data'!D239 = "Mall", 1,0)</f>
        <v>1</v>
      </c>
    </row>
    <row r="240" spans="1:15">
      <c r="A240" s="13">
        <v>761919.25</v>
      </c>
      <c r="B240" s="14">
        <v>59060.05</v>
      </c>
      <c r="C240" s="14">
        <v>9702</v>
      </c>
      <c r="D240" s="14">
        <v>0.20100000000000001</v>
      </c>
      <c r="E240" s="14">
        <v>23</v>
      </c>
      <c r="F240" s="14">
        <v>80.900000000000006</v>
      </c>
      <c r="G240" s="14">
        <v>6.96</v>
      </c>
      <c r="H240" s="14">
        <v>0</v>
      </c>
      <c r="I240" s="14">
        <v>3.2</v>
      </c>
      <c r="J240" s="21">
        <f>IF('Cleaned Data'!C240 = "East", 1, 0)</f>
        <v>0</v>
      </c>
      <c r="K240" s="21">
        <f>IF('Cleaned Data'!C240 = "West", 1, 0)</f>
        <v>1</v>
      </c>
      <c r="L240" s="21">
        <f>IF('Cleaned Data'!C240 = "North", 1, 0)</f>
        <v>0</v>
      </c>
      <c r="M240" s="21">
        <f>IF('Cleaned Data'!D240 = "Airport", 1, 0)</f>
        <v>0</v>
      </c>
      <c r="N240" s="21">
        <f>IF('Cleaned Data'!D240 = "High Street", 1,0)</f>
        <v>0</v>
      </c>
      <c r="O240" s="21">
        <f>IF('Cleaned Data'!D240 = "Mall", 1,0)</f>
        <v>1</v>
      </c>
    </row>
    <row r="241" spans="1:15">
      <c r="A241" s="13">
        <v>737070.18</v>
      </c>
      <c r="B241" s="14">
        <v>26248.1</v>
      </c>
      <c r="C241" s="14">
        <v>9314</v>
      </c>
      <c r="D241" s="14">
        <v>0.186</v>
      </c>
      <c r="E241" s="14">
        <v>21</v>
      </c>
      <c r="F241" s="14">
        <v>83.7</v>
      </c>
      <c r="G241" s="14">
        <v>4.62</v>
      </c>
      <c r="H241" s="14">
        <v>0</v>
      </c>
      <c r="I241" s="14">
        <v>3.3</v>
      </c>
      <c r="J241" s="21">
        <f>IF('Cleaned Data'!C241 = "East", 1, 0)</f>
        <v>0</v>
      </c>
      <c r="K241" s="21">
        <f>IF('Cleaned Data'!C241 = "West", 1, 0)</f>
        <v>1</v>
      </c>
      <c r="L241" s="21">
        <f>IF('Cleaned Data'!C241 = "North", 1, 0)</f>
        <v>0</v>
      </c>
      <c r="M241" s="21">
        <f>IF('Cleaned Data'!D241 = "Airport", 1, 0)</f>
        <v>0</v>
      </c>
      <c r="N241" s="21">
        <f>IF('Cleaned Data'!D241 = "High Street", 1,0)</f>
        <v>0</v>
      </c>
      <c r="O241" s="21">
        <f>IF('Cleaned Data'!D241 = "Mall", 1,0)</f>
        <v>1</v>
      </c>
    </row>
    <row r="242" spans="1:15">
      <c r="A242" s="13">
        <v>776992.93</v>
      </c>
      <c r="B242" s="14">
        <v>69900.12</v>
      </c>
      <c r="C242" s="14">
        <v>8055</v>
      </c>
      <c r="D242" s="14">
        <v>0.28100000000000003</v>
      </c>
      <c r="E242" s="14">
        <v>22</v>
      </c>
      <c r="F242" s="14">
        <v>85.6</v>
      </c>
      <c r="G242" s="14">
        <v>10.68</v>
      </c>
      <c r="H242" s="14">
        <v>1</v>
      </c>
      <c r="I242" s="14">
        <v>2.9</v>
      </c>
      <c r="J242" s="21">
        <f>IF('Cleaned Data'!C242 = "East", 1, 0)</f>
        <v>0</v>
      </c>
      <c r="K242" s="21">
        <f>IF('Cleaned Data'!C242 = "West", 1, 0)</f>
        <v>0</v>
      </c>
      <c r="L242" s="21">
        <f>IF('Cleaned Data'!C242 = "North", 1, 0)</f>
        <v>0</v>
      </c>
      <c r="M242" s="21">
        <f>IF('Cleaned Data'!D242 = "Airport", 1, 0)</f>
        <v>1</v>
      </c>
      <c r="N242" s="21">
        <f>IF('Cleaned Data'!D242 = "High Street", 1,0)</f>
        <v>0</v>
      </c>
      <c r="O242" s="21">
        <f>IF('Cleaned Data'!D242 = "Mall", 1,0)</f>
        <v>0</v>
      </c>
    </row>
    <row r="243" spans="1:15">
      <c r="A243" s="13">
        <v>676337.41</v>
      </c>
      <c r="B243" s="14">
        <v>51781.599999999999</v>
      </c>
      <c r="C243" s="14">
        <v>5648</v>
      </c>
      <c r="D243" s="14">
        <v>5.8999999999999997E-2</v>
      </c>
      <c r="E243" s="14">
        <v>13</v>
      </c>
      <c r="F243" s="14">
        <v>85.5</v>
      </c>
      <c r="G243" s="14">
        <v>4.04</v>
      </c>
      <c r="H243" s="14">
        <v>0</v>
      </c>
      <c r="I243" s="14">
        <v>3.7</v>
      </c>
      <c r="J243" s="21">
        <f>IF('Cleaned Data'!C243 = "East", 1, 0)</f>
        <v>0</v>
      </c>
      <c r="K243" s="21">
        <f>IF('Cleaned Data'!C243 = "West", 1, 0)</f>
        <v>0</v>
      </c>
      <c r="L243" s="21">
        <f>IF('Cleaned Data'!C243 = "North", 1, 0)</f>
        <v>0</v>
      </c>
      <c r="M243" s="21">
        <f>IF('Cleaned Data'!D243 = "Airport", 1, 0)</f>
        <v>1</v>
      </c>
      <c r="N243" s="21">
        <f>IF('Cleaned Data'!D243 = "High Street", 1,0)</f>
        <v>0</v>
      </c>
      <c r="O243" s="21">
        <f>IF('Cleaned Data'!D243 = "Mall", 1,0)</f>
        <v>0</v>
      </c>
    </row>
    <row r="244" spans="1:15">
      <c r="A244" s="13">
        <v>828219.67</v>
      </c>
      <c r="B244" s="14">
        <v>70799.64</v>
      </c>
      <c r="C244" s="14">
        <v>10076</v>
      </c>
      <c r="D244" s="14">
        <v>0.152</v>
      </c>
      <c r="E244" s="14">
        <v>24</v>
      </c>
      <c r="F244" s="14">
        <v>84.8</v>
      </c>
      <c r="G244" s="14">
        <v>1.87</v>
      </c>
      <c r="H244" s="14">
        <v>0</v>
      </c>
      <c r="I244" s="14">
        <v>3.5</v>
      </c>
      <c r="J244" s="21">
        <f>IF('Cleaned Data'!C244 = "East", 1, 0)</f>
        <v>0</v>
      </c>
      <c r="K244" s="21">
        <f>IF('Cleaned Data'!C244 = "West", 1, 0)</f>
        <v>0</v>
      </c>
      <c r="L244" s="21">
        <f>IF('Cleaned Data'!C244 = "North", 1, 0)</f>
        <v>0</v>
      </c>
      <c r="M244" s="21">
        <f>IF('Cleaned Data'!D244 = "Airport", 1, 0)</f>
        <v>1</v>
      </c>
      <c r="N244" s="21">
        <f>IF('Cleaned Data'!D244 = "High Street", 1,0)</f>
        <v>0</v>
      </c>
      <c r="O244" s="21">
        <f>IF('Cleaned Data'!D244 = "Mall", 1,0)</f>
        <v>0</v>
      </c>
    </row>
    <row r="245" spans="1:15">
      <c r="A245" s="13">
        <v>763159.92</v>
      </c>
      <c r="B245" s="14">
        <v>53546.34</v>
      </c>
      <c r="C245" s="14">
        <v>8004</v>
      </c>
      <c r="D245" s="14">
        <v>0</v>
      </c>
      <c r="E245" s="14">
        <v>21</v>
      </c>
      <c r="F245" s="14">
        <v>95.2</v>
      </c>
      <c r="G245" s="14">
        <v>2.83</v>
      </c>
      <c r="H245" s="14">
        <v>0</v>
      </c>
      <c r="I245" s="14">
        <v>3</v>
      </c>
      <c r="J245" s="21">
        <f>IF('Cleaned Data'!C245 = "East", 1, 0)</f>
        <v>0</v>
      </c>
      <c r="K245" s="21">
        <f>IF('Cleaned Data'!C245 = "West", 1, 0)</f>
        <v>0</v>
      </c>
      <c r="L245" s="21">
        <f>IF('Cleaned Data'!C245 = "North", 1, 0)</f>
        <v>0</v>
      </c>
      <c r="M245" s="21">
        <f>IF('Cleaned Data'!D245 = "Airport", 1, 0)</f>
        <v>1</v>
      </c>
      <c r="N245" s="21">
        <f>IF('Cleaned Data'!D245 = "High Street", 1,0)</f>
        <v>0</v>
      </c>
      <c r="O245" s="21">
        <f>IF('Cleaned Data'!D245 = "Mall", 1,0)</f>
        <v>0</v>
      </c>
    </row>
    <row r="246" spans="1:15">
      <c r="A246" s="13">
        <v>802001.68</v>
      </c>
      <c r="B246" s="14">
        <v>76942.2</v>
      </c>
      <c r="C246" s="14">
        <v>8934</v>
      </c>
      <c r="D246" s="14">
        <v>8.4000000000000005E-2</v>
      </c>
      <c r="E246" s="14">
        <v>20</v>
      </c>
      <c r="F246" s="14">
        <v>91</v>
      </c>
      <c r="G246" s="14">
        <v>0.95</v>
      </c>
      <c r="H246" s="14">
        <v>0</v>
      </c>
      <c r="I246" s="14">
        <v>3.2</v>
      </c>
      <c r="J246" s="21">
        <f>IF('Cleaned Data'!C246 = "East", 1, 0)</f>
        <v>1</v>
      </c>
      <c r="K246" s="21">
        <f>IF('Cleaned Data'!C246 = "West", 1, 0)</f>
        <v>0</v>
      </c>
      <c r="L246" s="21">
        <f>IF('Cleaned Data'!C246 = "North", 1, 0)</f>
        <v>0</v>
      </c>
      <c r="M246" s="21">
        <f>IF('Cleaned Data'!D246 = "Airport", 1, 0)</f>
        <v>0</v>
      </c>
      <c r="N246" s="21">
        <f>IF('Cleaned Data'!D246 = "High Street", 1,0)</f>
        <v>1</v>
      </c>
      <c r="O246" s="21">
        <f>IF('Cleaned Data'!D246 = "Mall", 1,0)</f>
        <v>0</v>
      </c>
    </row>
    <row r="247" spans="1:15">
      <c r="A247" s="13">
        <v>750471.34</v>
      </c>
      <c r="B247" s="14">
        <v>48060.78</v>
      </c>
      <c r="C247" s="14">
        <v>8733</v>
      </c>
      <c r="D247" s="14">
        <v>0</v>
      </c>
      <c r="E247" s="14">
        <v>20</v>
      </c>
      <c r="F247" s="14">
        <v>89.9</v>
      </c>
      <c r="G247" s="14">
        <v>0.8</v>
      </c>
      <c r="H247" s="14">
        <v>0</v>
      </c>
      <c r="I247" s="14">
        <v>3.4</v>
      </c>
      <c r="J247" s="21">
        <f>IF('Cleaned Data'!C247 = "East", 1, 0)</f>
        <v>1</v>
      </c>
      <c r="K247" s="21">
        <f>IF('Cleaned Data'!C247 = "West", 1, 0)</f>
        <v>0</v>
      </c>
      <c r="L247" s="21">
        <f>IF('Cleaned Data'!C247 = "North", 1, 0)</f>
        <v>0</v>
      </c>
      <c r="M247" s="21">
        <f>IF('Cleaned Data'!D247 = "Airport", 1, 0)</f>
        <v>0</v>
      </c>
      <c r="N247" s="21">
        <f>IF('Cleaned Data'!D247 = "High Street", 1,0)</f>
        <v>1</v>
      </c>
      <c r="O247" s="21">
        <f>IF('Cleaned Data'!D247 = "Mall", 1,0)</f>
        <v>0</v>
      </c>
    </row>
    <row r="248" spans="1:15">
      <c r="A248" s="13">
        <v>679230.86</v>
      </c>
      <c r="B248" s="14">
        <v>57390.04</v>
      </c>
      <c r="C248" s="14">
        <v>7374</v>
      </c>
      <c r="D248" s="14">
        <v>0.21</v>
      </c>
      <c r="E248" s="14">
        <v>21</v>
      </c>
      <c r="F248" s="14">
        <v>91.8</v>
      </c>
      <c r="G248" s="14">
        <v>0.2</v>
      </c>
      <c r="H248" s="14">
        <v>0</v>
      </c>
      <c r="I248" s="14">
        <v>3.1</v>
      </c>
      <c r="J248" s="21">
        <f>IF('Cleaned Data'!C248 = "East", 1, 0)</f>
        <v>1</v>
      </c>
      <c r="K248" s="21">
        <f>IF('Cleaned Data'!C248 = "West", 1, 0)</f>
        <v>0</v>
      </c>
      <c r="L248" s="21">
        <f>IF('Cleaned Data'!C248 = "North", 1, 0)</f>
        <v>0</v>
      </c>
      <c r="M248" s="21">
        <f>IF('Cleaned Data'!D248 = "Airport", 1, 0)</f>
        <v>0</v>
      </c>
      <c r="N248" s="21">
        <f>IF('Cleaned Data'!D248 = "High Street", 1,0)</f>
        <v>1</v>
      </c>
      <c r="O248" s="21">
        <f>IF('Cleaned Data'!D248 = "Mall", 1,0)</f>
        <v>0</v>
      </c>
    </row>
    <row r="249" spans="1:15">
      <c r="A249" s="13">
        <v>679888.74</v>
      </c>
      <c r="B249" s="14">
        <v>21536.18</v>
      </c>
      <c r="C249" s="14">
        <v>8119</v>
      </c>
      <c r="D249" s="14">
        <v>0.22700000000000001</v>
      </c>
      <c r="E249" s="14">
        <v>20</v>
      </c>
      <c r="F249" s="14">
        <v>90.4</v>
      </c>
      <c r="G249" s="14">
        <v>1.7</v>
      </c>
      <c r="H249" s="14">
        <v>0</v>
      </c>
      <c r="I249" s="14">
        <v>3.3</v>
      </c>
      <c r="J249" s="21">
        <f>IF('Cleaned Data'!C249 = "East", 1, 0)</f>
        <v>1</v>
      </c>
      <c r="K249" s="21">
        <f>IF('Cleaned Data'!C249 = "West", 1, 0)</f>
        <v>0</v>
      </c>
      <c r="L249" s="21">
        <f>IF('Cleaned Data'!C249 = "North", 1, 0)</f>
        <v>0</v>
      </c>
      <c r="M249" s="21">
        <f>IF('Cleaned Data'!D249 = "Airport", 1, 0)</f>
        <v>0</v>
      </c>
      <c r="N249" s="21">
        <f>IF('Cleaned Data'!D249 = "High Street", 1,0)</f>
        <v>1</v>
      </c>
      <c r="O249" s="21">
        <f>IF('Cleaned Data'!D249 = "Mall", 1,0)</f>
        <v>0</v>
      </c>
    </row>
    <row r="250" spans="1:15">
      <c r="A250" s="13">
        <v>606783.67000000004</v>
      </c>
      <c r="B250" s="14">
        <v>40923.67</v>
      </c>
      <c r="C250" s="14">
        <v>3875</v>
      </c>
      <c r="D250" s="14">
        <v>0.15</v>
      </c>
      <c r="E250" s="14">
        <v>10</v>
      </c>
      <c r="F250" s="14">
        <v>96.1</v>
      </c>
      <c r="G250" s="14">
        <v>3.3650000000000002</v>
      </c>
      <c r="H250" s="14">
        <v>0</v>
      </c>
      <c r="I250" s="14">
        <v>3.8</v>
      </c>
      <c r="J250" s="21">
        <f>IF('Cleaned Data'!C250 = "East", 1, 0)</f>
        <v>0</v>
      </c>
      <c r="K250" s="21">
        <f>IF('Cleaned Data'!C250 = "West", 1, 0)</f>
        <v>0</v>
      </c>
      <c r="L250" s="21">
        <f>IF('Cleaned Data'!C250 = "North", 1, 0)</f>
        <v>1</v>
      </c>
      <c r="M250" s="21">
        <f>IF('Cleaned Data'!D250 = "Airport", 1, 0)</f>
        <v>0</v>
      </c>
      <c r="N250" s="21">
        <f>IF('Cleaned Data'!D250 = "High Street", 1,0)</f>
        <v>1</v>
      </c>
      <c r="O250" s="21">
        <f>IF('Cleaned Data'!D250 = "Mall", 1,0)</f>
        <v>0</v>
      </c>
    </row>
    <row r="251" spans="1:15">
      <c r="A251" s="13">
        <v>642751.42000000004</v>
      </c>
      <c r="B251" s="14">
        <v>72932.55</v>
      </c>
      <c r="C251" s="14">
        <v>5765</v>
      </c>
      <c r="D251" s="14">
        <v>2.5999999999999999E-2</v>
      </c>
      <c r="E251" s="14">
        <v>17</v>
      </c>
      <c r="F251" s="14">
        <v>81.8</v>
      </c>
      <c r="G251" s="14">
        <v>5.0999999999999996</v>
      </c>
      <c r="H251" s="14">
        <v>0</v>
      </c>
      <c r="I251" s="14">
        <v>3.6</v>
      </c>
      <c r="J251" s="21">
        <f>IF('Cleaned Data'!C251 = "East", 1, 0)</f>
        <v>0</v>
      </c>
      <c r="K251" s="21">
        <f>IF('Cleaned Data'!C251 = "West", 1, 0)</f>
        <v>0</v>
      </c>
      <c r="L251" s="21">
        <f>IF('Cleaned Data'!C251 = "North", 1, 0)</f>
        <v>1</v>
      </c>
      <c r="M251" s="21">
        <f>IF('Cleaned Data'!D251 = "Airport", 1, 0)</f>
        <v>0</v>
      </c>
      <c r="N251" s="21">
        <f>IF('Cleaned Data'!D251 = "High Street", 1,0)</f>
        <v>1</v>
      </c>
      <c r="O251" s="21">
        <f>IF('Cleaned Data'!D251 = "Mall", 1,0)</f>
        <v>0</v>
      </c>
    </row>
    <row r="252" spans="1:15">
      <c r="A252" s="13">
        <v>647953.78</v>
      </c>
      <c r="B252" s="14">
        <v>38361.93</v>
      </c>
      <c r="C252" s="14">
        <v>6322</v>
      </c>
      <c r="D252" s="14">
        <v>0.27300000000000002</v>
      </c>
      <c r="E252" s="14">
        <v>15</v>
      </c>
      <c r="F252" s="14">
        <v>88.4</v>
      </c>
      <c r="G252" s="14">
        <v>0.83</v>
      </c>
      <c r="H252" s="14">
        <v>0</v>
      </c>
      <c r="I252" s="14">
        <v>4</v>
      </c>
      <c r="J252" s="21">
        <f>IF('Cleaned Data'!C252 = "East", 1, 0)</f>
        <v>0</v>
      </c>
      <c r="K252" s="21">
        <f>IF('Cleaned Data'!C252 = "West", 1, 0)</f>
        <v>0</v>
      </c>
      <c r="L252" s="21">
        <f>IF('Cleaned Data'!C252 = "North", 1, 0)</f>
        <v>1</v>
      </c>
      <c r="M252" s="21">
        <f>IF('Cleaned Data'!D252 = "Airport", 1, 0)</f>
        <v>0</v>
      </c>
      <c r="N252" s="21">
        <f>IF('Cleaned Data'!D252 = "High Street", 1,0)</f>
        <v>1</v>
      </c>
      <c r="O252" s="21">
        <f>IF('Cleaned Data'!D252 = "Mall", 1,0)</f>
        <v>0</v>
      </c>
    </row>
    <row r="253" spans="1:15">
      <c r="A253" s="13">
        <v>729440.45</v>
      </c>
      <c r="B253" s="14">
        <v>97480.94</v>
      </c>
      <c r="C253" s="14">
        <v>6840</v>
      </c>
      <c r="D253" s="14">
        <v>8.6999999999999994E-2</v>
      </c>
      <c r="E253" s="14">
        <v>14</v>
      </c>
      <c r="F253" s="14">
        <v>79.2</v>
      </c>
      <c r="G253" s="14">
        <v>1.1399999999999999</v>
      </c>
      <c r="H253" s="14">
        <v>0</v>
      </c>
      <c r="I253" s="14">
        <v>4</v>
      </c>
      <c r="J253" s="21">
        <f>IF('Cleaned Data'!C253 = "East", 1, 0)</f>
        <v>0</v>
      </c>
      <c r="K253" s="21">
        <f>IF('Cleaned Data'!C253 = "West", 1, 0)</f>
        <v>0</v>
      </c>
      <c r="L253" s="21">
        <f>IF('Cleaned Data'!C253 = "North", 1, 0)</f>
        <v>1</v>
      </c>
      <c r="M253" s="21">
        <f>IF('Cleaned Data'!D253 = "Airport", 1, 0)</f>
        <v>0</v>
      </c>
      <c r="N253" s="21">
        <f>IF('Cleaned Data'!D253 = "High Street", 1,0)</f>
        <v>1</v>
      </c>
      <c r="O253" s="21">
        <f>IF('Cleaned Data'!D253 = "Mall", 1,0)</f>
        <v>0</v>
      </c>
    </row>
    <row r="254" spans="1:15">
      <c r="A254" s="13">
        <v>764949</v>
      </c>
      <c r="B254" s="14">
        <v>81801.8</v>
      </c>
      <c r="C254" s="14">
        <v>6782</v>
      </c>
      <c r="D254" s="14">
        <v>0.05</v>
      </c>
      <c r="E254" s="14">
        <v>16</v>
      </c>
      <c r="F254" s="14">
        <v>99</v>
      </c>
      <c r="G254" s="14">
        <v>9.5399999999999991</v>
      </c>
      <c r="H254" s="14">
        <v>0</v>
      </c>
      <c r="I254" s="14">
        <v>3.7</v>
      </c>
      <c r="J254" s="21">
        <f>IF('Cleaned Data'!C254 = "East", 1, 0)</f>
        <v>0</v>
      </c>
      <c r="K254" s="21">
        <f>IF('Cleaned Data'!C254 = "West", 1, 0)</f>
        <v>0</v>
      </c>
      <c r="L254" s="21">
        <f>IF('Cleaned Data'!C254 = "North", 1, 0)</f>
        <v>0</v>
      </c>
      <c r="M254" s="21">
        <f>IF('Cleaned Data'!D254 = "Airport", 1, 0)</f>
        <v>1</v>
      </c>
      <c r="N254" s="21">
        <f>IF('Cleaned Data'!D254 = "High Street", 1,0)</f>
        <v>0</v>
      </c>
      <c r="O254" s="21">
        <f>IF('Cleaned Data'!D254 = "Mall", 1,0)</f>
        <v>0</v>
      </c>
    </row>
    <row r="255" spans="1:15">
      <c r="A255" s="13">
        <v>799046.94</v>
      </c>
      <c r="B255" s="14">
        <v>63582.11</v>
      </c>
      <c r="C255" s="14">
        <v>6856</v>
      </c>
      <c r="D255" s="14">
        <v>7.3999999999999996E-2</v>
      </c>
      <c r="E255" s="14">
        <v>17</v>
      </c>
      <c r="F255" s="14">
        <v>89.5</v>
      </c>
      <c r="G255" s="14">
        <v>5.48</v>
      </c>
      <c r="H255" s="14">
        <v>0</v>
      </c>
      <c r="I255" s="14">
        <v>3.2</v>
      </c>
      <c r="J255" s="21">
        <f>IF('Cleaned Data'!C255 = "East", 1, 0)</f>
        <v>0</v>
      </c>
      <c r="K255" s="21">
        <f>IF('Cleaned Data'!C255 = "West", 1, 0)</f>
        <v>0</v>
      </c>
      <c r="L255" s="21">
        <f>IF('Cleaned Data'!C255 = "North", 1, 0)</f>
        <v>0</v>
      </c>
      <c r="M255" s="21">
        <f>IF('Cleaned Data'!D255 = "Airport", 1, 0)</f>
        <v>1</v>
      </c>
      <c r="N255" s="21">
        <f>IF('Cleaned Data'!D255 = "High Street", 1,0)</f>
        <v>0</v>
      </c>
      <c r="O255" s="21">
        <f>IF('Cleaned Data'!D255 = "Mall", 1,0)</f>
        <v>0</v>
      </c>
    </row>
    <row r="256" spans="1:15">
      <c r="A256" s="13">
        <v>720079.54</v>
      </c>
      <c r="B256" s="14">
        <v>75412.740000000005</v>
      </c>
      <c r="C256" s="14">
        <v>5641</v>
      </c>
      <c r="D256" s="14">
        <v>5.8999999999999997E-2</v>
      </c>
      <c r="E256" s="14">
        <v>13</v>
      </c>
      <c r="F256" s="14">
        <v>87.9</v>
      </c>
      <c r="G256" s="14">
        <v>0.84</v>
      </c>
      <c r="H256" s="14">
        <v>0</v>
      </c>
      <c r="I256" s="14">
        <v>3.6</v>
      </c>
      <c r="J256" s="21">
        <f>IF('Cleaned Data'!C256 = "East", 1, 0)</f>
        <v>0</v>
      </c>
      <c r="K256" s="21">
        <f>IF('Cleaned Data'!C256 = "West", 1, 0)</f>
        <v>0</v>
      </c>
      <c r="L256" s="21">
        <f>IF('Cleaned Data'!C256 = "North", 1, 0)</f>
        <v>0</v>
      </c>
      <c r="M256" s="21">
        <f>IF('Cleaned Data'!D256 = "Airport", 1, 0)</f>
        <v>1</v>
      </c>
      <c r="N256" s="21">
        <f>IF('Cleaned Data'!D256 = "High Street", 1,0)</f>
        <v>0</v>
      </c>
      <c r="O256" s="21">
        <f>IF('Cleaned Data'!D256 = "Mall", 1,0)</f>
        <v>0</v>
      </c>
    </row>
    <row r="257" spans="1:15">
      <c r="A257" s="13">
        <v>612390.14</v>
      </c>
      <c r="B257" s="14">
        <v>36290.080000000002</v>
      </c>
      <c r="C257" s="14">
        <v>5787</v>
      </c>
      <c r="D257" s="14">
        <v>0</v>
      </c>
      <c r="E257" s="14">
        <v>17</v>
      </c>
      <c r="F257" s="14">
        <v>88.3</v>
      </c>
      <c r="G257" s="14">
        <v>4.1900000000000004</v>
      </c>
      <c r="H257" s="14">
        <v>0</v>
      </c>
      <c r="I257" s="14">
        <v>4.0999999999999996</v>
      </c>
      <c r="J257" s="21">
        <f>IF('Cleaned Data'!C257 = "East", 1, 0)</f>
        <v>0</v>
      </c>
      <c r="K257" s="21">
        <f>IF('Cleaned Data'!C257 = "West", 1, 0)</f>
        <v>0</v>
      </c>
      <c r="L257" s="21">
        <f>IF('Cleaned Data'!C257 = "North", 1, 0)</f>
        <v>0</v>
      </c>
      <c r="M257" s="21">
        <f>IF('Cleaned Data'!D257 = "Airport", 1, 0)</f>
        <v>1</v>
      </c>
      <c r="N257" s="21">
        <f>IF('Cleaned Data'!D257 = "High Street", 1,0)</f>
        <v>0</v>
      </c>
      <c r="O257" s="21">
        <f>IF('Cleaned Data'!D257 = "Mall", 1,0)</f>
        <v>0</v>
      </c>
    </row>
    <row r="258" spans="1:15">
      <c r="A258" s="13">
        <v>840108.12</v>
      </c>
      <c r="B258" s="14">
        <v>65272.58</v>
      </c>
      <c r="C258" s="14">
        <v>8165</v>
      </c>
      <c r="D258" s="14">
        <v>5.0999999999999997E-2</v>
      </c>
      <c r="E258" s="14">
        <v>19</v>
      </c>
      <c r="F258" s="14">
        <v>87.8</v>
      </c>
      <c r="G258" s="14">
        <v>1.26</v>
      </c>
      <c r="H258" s="14">
        <v>1</v>
      </c>
      <c r="I258" s="14">
        <v>4.3</v>
      </c>
      <c r="J258" s="21">
        <f>IF('Cleaned Data'!C258 = "East", 1, 0)</f>
        <v>0</v>
      </c>
      <c r="K258" s="21">
        <f>IF('Cleaned Data'!C258 = "West", 1, 0)</f>
        <v>0</v>
      </c>
      <c r="L258" s="21">
        <f>IF('Cleaned Data'!C258 = "North", 1, 0)</f>
        <v>0</v>
      </c>
      <c r="M258" s="21">
        <f>IF('Cleaned Data'!D258 = "Airport", 1, 0)</f>
        <v>0</v>
      </c>
      <c r="N258" s="21">
        <f>IF('Cleaned Data'!D258 = "High Street", 1,0)</f>
        <v>0</v>
      </c>
      <c r="O258" s="21">
        <f>IF('Cleaned Data'!D258 = "Mall", 1,0)</f>
        <v>1</v>
      </c>
    </row>
    <row r="259" spans="1:15">
      <c r="A259" s="13">
        <v>697888.09</v>
      </c>
      <c r="B259" s="14">
        <v>28670.43</v>
      </c>
      <c r="C259" s="14">
        <v>7574</v>
      </c>
      <c r="D259" s="14">
        <v>0.114</v>
      </c>
      <c r="E259" s="14">
        <v>19</v>
      </c>
      <c r="F259" s="14">
        <v>82.7</v>
      </c>
      <c r="G259" s="14">
        <v>2.74</v>
      </c>
      <c r="H259" s="14">
        <v>0</v>
      </c>
      <c r="I259" s="14">
        <v>4.5999999999999996</v>
      </c>
      <c r="J259" s="21">
        <f>IF('Cleaned Data'!C259 = "East", 1, 0)</f>
        <v>0</v>
      </c>
      <c r="K259" s="21">
        <f>IF('Cleaned Data'!C259 = "West", 1, 0)</f>
        <v>0</v>
      </c>
      <c r="L259" s="21">
        <f>IF('Cleaned Data'!C259 = "North", 1, 0)</f>
        <v>0</v>
      </c>
      <c r="M259" s="21">
        <f>IF('Cleaned Data'!D259 = "Airport", 1, 0)</f>
        <v>0</v>
      </c>
      <c r="N259" s="21">
        <f>IF('Cleaned Data'!D259 = "High Street", 1,0)</f>
        <v>0</v>
      </c>
      <c r="O259" s="21">
        <f>IF('Cleaned Data'!D259 = "Mall", 1,0)</f>
        <v>1</v>
      </c>
    </row>
    <row r="260" spans="1:15">
      <c r="A260" s="13">
        <v>746115.59</v>
      </c>
      <c r="B260" s="14">
        <v>44189.34</v>
      </c>
      <c r="C260" s="14">
        <v>8634</v>
      </c>
      <c r="D260" s="14">
        <v>0.14299999999999999</v>
      </c>
      <c r="E260" s="14">
        <v>19</v>
      </c>
      <c r="F260" s="14">
        <v>87.5</v>
      </c>
      <c r="G260" s="14">
        <v>3.69</v>
      </c>
      <c r="H260" s="14">
        <v>0</v>
      </c>
      <c r="I260" s="14">
        <v>4.4000000000000004</v>
      </c>
      <c r="J260" s="21">
        <f>IF('Cleaned Data'!C260 = "East", 1, 0)</f>
        <v>0</v>
      </c>
      <c r="K260" s="21">
        <f>IF('Cleaned Data'!C260 = "West", 1, 0)</f>
        <v>0</v>
      </c>
      <c r="L260" s="21">
        <f>IF('Cleaned Data'!C260 = "North", 1, 0)</f>
        <v>0</v>
      </c>
      <c r="M260" s="21">
        <f>IF('Cleaned Data'!D260 = "Airport", 1, 0)</f>
        <v>0</v>
      </c>
      <c r="N260" s="21">
        <f>IF('Cleaned Data'!D260 = "High Street", 1,0)</f>
        <v>0</v>
      </c>
      <c r="O260" s="21">
        <f>IF('Cleaned Data'!D260 = "Mall", 1,0)</f>
        <v>1</v>
      </c>
    </row>
    <row r="261" spans="1:15">
      <c r="A261" s="13">
        <v>776110.32</v>
      </c>
      <c r="B261" s="14">
        <v>38397.82</v>
      </c>
      <c r="C261" s="14">
        <v>7836</v>
      </c>
      <c r="D261" s="14">
        <v>7.0000000000000001E-3</v>
      </c>
      <c r="E261" s="14">
        <v>21</v>
      </c>
      <c r="F261" s="14">
        <v>92.2</v>
      </c>
      <c r="G261" s="14">
        <v>1.82</v>
      </c>
      <c r="H261" s="14">
        <v>0</v>
      </c>
      <c r="I261" s="14">
        <v>3.6</v>
      </c>
      <c r="J261" s="21">
        <f>IF('Cleaned Data'!C261 = "East", 1, 0)</f>
        <v>0</v>
      </c>
      <c r="K261" s="21">
        <f>IF('Cleaned Data'!C261 = "West", 1, 0)</f>
        <v>0</v>
      </c>
      <c r="L261" s="21">
        <f>IF('Cleaned Data'!C261 = "North", 1, 0)</f>
        <v>0</v>
      </c>
      <c r="M261" s="21">
        <f>IF('Cleaned Data'!D261 = "Airport", 1, 0)</f>
        <v>0</v>
      </c>
      <c r="N261" s="21">
        <f>IF('Cleaned Data'!D261 = "High Street", 1,0)</f>
        <v>0</v>
      </c>
      <c r="O261" s="21">
        <f>IF('Cleaned Data'!D261 = "Mall", 1,0)</f>
        <v>1</v>
      </c>
    </row>
    <row r="262" spans="1:15">
      <c r="A262" s="13">
        <v>528852.62</v>
      </c>
      <c r="B262" s="14">
        <v>14519.37</v>
      </c>
      <c r="C262" s="14">
        <v>3047</v>
      </c>
      <c r="D262" s="14">
        <v>0.13500000000000001</v>
      </c>
      <c r="E262" s="14">
        <v>10</v>
      </c>
      <c r="F262" s="14">
        <v>90.3</v>
      </c>
      <c r="G262" s="14">
        <v>6.62</v>
      </c>
      <c r="H262" s="14">
        <v>0</v>
      </c>
      <c r="I262" s="14">
        <v>4.2</v>
      </c>
      <c r="J262" s="21">
        <f>IF('Cleaned Data'!C262 = "East", 1, 0)</f>
        <v>0</v>
      </c>
      <c r="K262" s="21">
        <f>IF('Cleaned Data'!C262 = "West", 1, 0)</f>
        <v>1</v>
      </c>
      <c r="L262" s="21">
        <f>IF('Cleaned Data'!C262 = "North", 1, 0)</f>
        <v>0</v>
      </c>
      <c r="M262" s="21">
        <f>IF('Cleaned Data'!D262 = "Airport", 1, 0)</f>
        <v>0</v>
      </c>
      <c r="N262" s="21">
        <f>IF('Cleaned Data'!D262 = "High Street", 1,0)</f>
        <v>1</v>
      </c>
      <c r="O262" s="21">
        <f>IF('Cleaned Data'!D262 = "Mall", 1,0)</f>
        <v>0</v>
      </c>
    </row>
    <row r="263" spans="1:15">
      <c r="A263" s="13">
        <v>605751.32999999996</v>
      </c>
      <c r="B263" s="14">
        <v>43288.2</v>
      </c>
      <c r="C263" s="14">
        <v>4783</v>
      </c>
      <c r="D263" s="14">
        <v>0.16900000000000001</v>
      </c>
      <c r="E263" s="14">
        <v>13</v>
      </c>
      <c r="F263" s="14">
        <v>87.3</v>
      </c>
      <c r="G263" s="14">
        <v>3.3650000000000002</v>
      </c>
      <c r="H263" s="14">
        <v>0</v>
      </c>
      <c r="I263" s="14">
        <v>4.2</v>
      </c>
      <c r="J263" s="21">
        <f>IF('Cleaned Data'!C263 = "East", 1, 0)</f>
        <v>0</v>
      </c>
      <c r="K263" s="21">
        <f>IF('Cleaned Data'!C263 = "West", 1, 0)</f>
        <v>1</v>
      </c>
      <c r="L263" s="21">
        <f>IF('Cleaned Data'!C263 = "North", 1, 0)</f>
        <v>0</v>
      </c>
      <c r="M263" s="21">
        <f>IF('Cleaned Data'!D263 = "Airport", 1, 0)</f>
        <v>0</v>
      </c>
      <c r="N263" s="21">
        <f>IF('Cleaned Data'!D263 = "High Street", 1,0)</f>
        <v>1</v>
      </c>
      <c r="O263" s="21">
        <f>IF('Cleaned Data'!D263 = "Mall", 1,0)</f>
        <v>0</v>
      </c>
    </row>
    <row r="264" spans="1:15">
      <c r="A264" s="13">
        <v>677640.65</v>
      </c>
      <c r="B264" s="14">
        <v>51450.55</v>
      </c>
      <c r="C264" s="14">
        <v>4902</v>
      </c>
      <c r="D264" s="14">
        <v>8.5999999999999993E-2</v>
      </c>
      <c r="E264" s="14">
        <v>11</v>
      </c>
      <c r="F264" s="14">
        <v>83.7</v>
      </c>
      <c r="G264" s="14">
        <v>6.92</v>
      </c>
      <c r="H264" s="14">
        <v>1</v>
      </c>
      <c r="I264" s="14">
        <v>4.2</v>
      </c>
      <c r="J264" s="21">
        <f>IF('Cleaned Data'!C264 = "East", 1, 0)</f>
        <v>0</v>
      </c>
      <c r="K264" s="21">
        <f>IF('Cleaned Data'!C264 = "West", 1, 0)</f>
        <v>1</v>
      </c>
      <c r="L264" s="21">
        <f>IF('Cleaned Data'!C264 = "North", 1, 0)</f>
        <v>0</v>
      </c>
      <c r="M264" s="21">
        <f>IF('Cleaned Data'!D264 = "Airport", 1, 0)</f>
        <v>0</v>
      </c>
      <c r="N264" s="21">
        <f>IF('Cleaned Data'!D264 = "High Street", 1,0)</f>
        <v>1</v>
      </c>
      <c r="O264" s="21">
        <f>IF('Cleaned Data'!D264 = "Mall", 1,0)</f>
        <v>0</v>
      </c>
    </row>
    <row r="265" spans="1:15">
      <c r="A265" s="13">
        <v>636613.23</v>
      </c>
      <c r="B265" s="14">
        <v>58688.26</v>
      </c>
      <c r="C265" s="14">
        <v>4022</v>
      </c>
      <c r="D265" s="14">
        <v>0.217</v>
      </c>
      <c r="E265" s="14">
        <v>12</v>
      </c>
      <c r="F265" s="14">
        <v>93.8</v>
      </c>
      <c r="G265" s="14">
        <v>11.78</v>
      </c>
      <c r="H265" s="14">
        <v>0</v>
      </c>
      <c r="I265" s="14">
        <v>3.7</v>
      </c>
      <c r="J265" s="21">
        <f>IF('Cleaned Data'!C265 = "East", 1, 0)</f>
        <v>0</v>
      </c>
      <c r="K265" s="21">
        <f>IF('Cleaned Data'!C265 = "West", 1, 0)</f>
        <v>1</v>
      </c>
      <c r="L265" s="21">
        <f>IF('Cleaned Data'!C265 = "North", 1, 0)</f>
        <v>0</v>
      </c>
      <c r="M265" s="21">
        <f>IF('Cleaned Data'!D265 = "Airport", 1, 0)</f>
        <v>0</v>
      </c>
      <c r="N265" s="21">
        <f>IF('Cleaned Data'!D265 = "High Street", 1,0)</f>
        <v>1</v>
      </c>
      <c r="O265" s="21">
        <f>IF('Cleaned Data'!D265 = "Mall", 1,0)</f>
        <v>0</v>
      </c>
    </row>
    <row r="266" spans="1:15">
      <c r="A266" s="13">
        <v>708985.19</v>
      </c>
      <c r="B266" s="14">
        <v>58981.91</v>
      </c>
      <c r="C266" s="14">
        <v>7324</v>
      </c>
      <c r="D266" s="14">
        <v>9.4E-2</v>
      </c>
      <c r="E266" s="14">
        <v>15</v>
      </c>
      <c r="F266" s="14">
        <v>95.8</v>
      </c>
      <c r="G266" s="14">
        <v>0.5</v>
      </c>
      <c r="H266" s="14">
        <v>0</v>
      </c>
      <c r="I266" s="14">
        <v>3.5</v>
      </c>
      <c r="J266" s="21">
        <f>IF('Cleaned Data'!C266 = "East", 1, 0)</f>
        <v>1</v>
      </c>
      <c r="K266" s="21">
        <f>IF('Cleaned Data'!C266 = "West", 1, 0)</f>
        <v>0</v>
      </c>
      <c r="L266" s="21">
        <f>IF('Cleaned Data'!C266 = "North", 1, 0)</f>
        <v>0</v>
      </c>
      <c r="M266" s="21">
        <f>IF('Cleaned Data'!D266 = "Airport", 1, 0)</f>
        <v>0</v>
      </c>
      <c r="N266" s="21">
        <f>IF('Cleaned Data'!D266 = "High Street", 1,0)</f>
        <v>1</v>
      </c>
      <c r="O266" s="21">
        <f>IF('Cleaned Data'!D266 = "Mall", 1,0)</f>
        <v>0</v>
      </c>
    </row>
    <row r="267" spans="1:15">
      <c r="A267" s="13">
        <v>767792.94</v>
      </c>
      <c r="B267" s="14">
        <v>73454.539999999994</v>
      </c>
      <c r="C267" s="14">
        <v>8129</v>
      </c>
      <c r="D267" s="14">
        <v>0.21099999999999999</v>
      </c>
      <c r="E267" s="14">
        <v>20</v>
      </c>
      <c r="F267" s="14">
        <v>85.2</v>
      </c>
      <c r="G267" s="14">
        <v>0.88</v>
      </c>
      <c r="H267" s="14">
        <v>0</v>
      </c>
      <c r="I267" s="14">
        <v>3.7</v>
      </c>
      <c r="J267" s="21">
        <f>IF('Cleaned Data'!C267 = "East", 1, 0)</f>
        <v>1</v>
      </c>
      <c r="K267" s="21">
        <f>IF('Cleaned Data'!C267 = "West", 1, 0)</f>
        <v>0</v>
      </c>
      <c r="L267" s="21">
        <f>IF('Cleaned Data'!C267 = "North", 1, 0)</f>
        <v>0</v>
      </c>
      <c r="M267" s="21">
        <f>IF('Cleaned Data'!D267 = "Airport", 1, 0)</f>
        <v>0</v>
      </c>
      <c r="N267" s="21">
        <f>IF('Cleaned Data'!D267 = "High Street", 1,0)</f>
        <v>1</v>
      </c>
      <c r="O267" s="21">
        <f>IF('Cleaned Data'!D267 = "Mall", 1,0)</f>
        <v>0</v>
      </c>
    </row>
    <row r="268" spans="1:15">
      <c r="A268" s="13">
        <v>745580.51</v>
      </c>
      <c r="B268" s="14">
        <v>56602.39</v>
      </c>
      <c r="C268" s="14">
        <v>7969</v>
      </c>
      <c r="D268" s="14">
        <v>0.17</v>
      </c>
      <c r="E268" s="14">
        <v>21</v>
      </c>
      <c r="F268" s="14">
        <v>88.3</v>
      </c>
      <c r="G268" s="14">
        <v>2.25</v>
      </c>
      <c r="H268" s="14">
        <v>0</v>
      </c>
      <c r="I268" s="14">
        <v>3.7</v>
      </c>
      <c r="J268" s="21">
        <f>IF('Cleaned Data'!C268 = "East", 1, 0)</f>
        <v>1</v>
      </c>
      <c r="K268" s="21">
        <f>IF('Cleaned Data'!C268 = "West", 1, 0)</f>
        <v>0</v>
      </c>
      <c r="L268" s="21">
        <f>IF('Cleaned Data'!C268 = "North", 1, 0)</f>
        <v>0</v>
      </c>
      <c r="M268" s="21">
        <f>IF('Cleaned Data'!D268 = "Airport", 1, 0)</f>
        <v>0</v>
      </c>
      <c r="N268" s="21">
        <f>IF('Cleaned Data'!D268 = "High Street", 1,0)</f>
        <v>1</v>
      </c>
      <c r="O268" s="21">
        <f>IF('Cleaned Data'!D268 = "Mall", 1,0)</f>
        <v>0</v>
      </c>
    </row>
    <row r="269" spans="1:15">
      <c r="A269" s="13">
        <v>762328.31</v>
      </c>
      <c r="B269" s="14">
        <v>67722.289999999994</v>
      </c>
      <c r="C269" s="14">
        <v>7240</v>
      </c>
      <c r="D269" s="14">
        <v>2.5999999999999999E-2</v>
      </c>
      <c r="E269" s="14">
        <v>15</v>
      </c>
      <c r="F269" s="14">
        <v>92.9</v>
      </c>
      <c r="G269" s="14">
        <v>0.28999999999999998</v>
      </c>
      <c r="H269" s="14">
        <v>0</v>
      </c>
      <c r="I269" s="14">
        <v>3.5</v>
      </c>
      <c r="J269" s="21">
        <f>IF('Cleaned Data'!C269 = "East", 1, 0)</f>
        <v>1</v>
      </c>
      <c r="K269" s="21">
        <f>IF('Cleaned Data'!C269 = "West", 1, 0)</f>
        <v>0</v>
      </c>
      <c r="L269" s="21">
        <f>IF('Cleaned Data'!C269 = "North", 1, 0)</f>
        <v>0</v>
      </c>
      <c r="M269" s="21">
        <f>IF('Cleaned Data'!D269 = "Airport", 1, 0)</f>
        <v>0</v>
      </c>
      <c r="N269" s="21">
        <f>IF('Cleaned Data'!D269 = "High Street", 1,0)</f>
        <v>1</v>
      </c>
      <c r="O269" s="21">
        <f>IF('Cleaned Data'!D269 = "Mall", 1,0)</f>
        <v>0</v>
      </c>
    </row>
    <row r="270" spans="1:15">
      <c r="A270" s="13">
        <v>660633.99</v>
      </c>
      <c r="B270" s="14">
        <v>48752.92</v>
      </c>
      <c r="C270" s="14">
        <v>8052</v>
      </c>
      <c r="D270" s="14">
        <v>0.106</v>
      </c>
      <c r="E270" s="14">
        <v>16</v>
      </c>
      <c r="F270" s="14">
        <v>94.9</v>
      </c>
      <c r="G270" s="14">
        <v>0.65</v>
      </c>
      <c r="H270" s="14">
        <v>0</v>
      </c>
      <c r="I270" s="14">
        <v>3.6</v>
      </c>
      <c r="J270" s="21">
        <f>IF('Cleaned Data'!C270 = "East", 1, 0)</f>
        <v>1</v>
      </c>
      <c r="K270" s="21">
        <f>IF('Cleaned Data'!C270 = "West", 1, 0)</f>
        <v>0</v>
      </c>
      <c r="L270" s="21">
        <f>IF('Cleaned Data'!C270 = "North", 1, 0)</f>
        <v>0</v>
      </c>
      <c r="M270" s="21">
        <f>IF('Cleaned Data'!D270 = "Airport", 1, 0)</f>
        <v>0</v>
      </c>
      <c r="N270" s="21">
        <f>IF('Cleaned Data'!D270 = "High Street", 1,0)</f>
        <v>0</v>
      </c>
      <c r="O270" s="21">
        <f>IF('Cleaned Data'!D270 = "Mall", 1,0)</f>
        <v>1</v>
      </c>
    </row>
    <row r="271" spans="1:15">
      <c r="A271" s="13">
        <v>739374.56</v>
      </c>
      <c r="B271" s="14">
        <v>23914.97</v>
      </c>
      <c r="C271" s="14">
        <v>8018</v>
      </c>
      <c r="D271" s="14">
        <v>0.13900000000000001</v>
      </c>
      <c r="E271" s="14">
        <v>20</v>
      </c>
      <c r="F271" s="14">
        <v>89</v>
      </c>
      <c r="G271" s="14">
        <v>0.2</v>
      </c>
      <c r="H271" s="14">
        <v>0</v>
      </c>
      <c r="I271" s="14">
        <v>3.5</v>
      </c>
      <c r="J271" s="21">
        <f>IF('Cleaned Data'!C271 = "East", 1, 0)</f>
        <v>1</v>
      </c>
      <c r="K271" s="21">
        <f>IF('Cleaned Data'!C271 = "West", 1, 0)</f>
        <v>0</v>
      </c>
      <c r="L271" s="21">
        <f>IF('Cleaned Data'!C271 = "North", 1, 0)</f>
        <v>0</v>
      </c>
      <c r="M271" s="21">
        <f>IF('Cleaned Data'!D271 = "Airport", 1, 0)</f>
        <v>0</v>
      </c>
      <c r="N271" s="21">
        <f>IF('Cleaned Data'!D271 = "High Street", 1,0)</f>
        <v>0</v>
      </c>
      <c r="O271" s="21">
        <f>IF('Cleaned Data'!D271 = "Mall", 1,0)</f>
        <v>1</v>
      </c>
    </row>
    <row r="272" spans="1:15">
      <c r="A272" s="13">
        <v>799756.46</v>
      </c>
      <c r="B272" s="14">
        <v>61995.3</v>
      </c>
      <c r="C272" s="14">
        <v>10192</v>
      </c>
      <c r="D272" s="14">
        <v>0.19800000000000001</v>
      </c>
      <c r="E272" s="14">
        <v>21</v>
      </c>
      <c r="F272" s="14">
        <v>87.6</v>
      </c>
      <c r="G272" s="14">
        <v>3.63</v>
      </c>
      <c r="H272" s="14">
        <v>1</v>
      </c>
      <c r="I272" s="14">
        <v>3.8</v>
      </c>
      <c r="J272" s="21">
        <f>IF('Cleaned Data'!C272 = "East", 1, 0)</f>
        <v>1</v>
      </c>
      <c r="K272" s="21">
        <f>IF('Cleaned Data'!C272 = "West", 1, 0)</f>
        <v>0</v>
      </c>
      <c r="L272" s="21">
        <f>IF('Cleaned Data'!C272 = "North", 1, 0)</f>
        <v>0</v>
      </c>
      <c r="M272" s="21">
        <f>IF('Cleaned Data'!D272 = "Airport", 1, 0)</f>
        <v>0</v>
      </c>
      <c r="N272" s="21">
        <f>IF('Cleaned Data'!D272 = "High Street", 1,0)</f>
        <v>0</v>
      </c>
      <c r="O272" s="21">
        <f>IF('Cleaned Data'!D272 = "Mall", 1,0)</f>
        <v>1</v>
      </c>
    </row>
    <row r="273" spans="1:15">
      <c r="A273" s="13">
        <v>593343</v>
      </c>
      <c r="B273" s="14">
        <v>29344.93</v>
      </c>
      <c r="C273" s="14">
        <v>7446</v>
      </c>
      <c r="D273" s="14">
        <v>0.111</v>
      </c>
      <c r="E273" s="14">
        <v>15</v>
      </c>
      <c r="F273" s="14">
        <v>86.2</v>
      </c>
      <c r="G273" s="14">
        <v>0.2</v>
      </c>
      <c r="H273" s="14">
        <v>0</v>
      </c>
      <c r="I273" s="14">
        <v>3.2</v>
      </c>
      <c r="J273" s="21">
        <f>IF('Cleaned Data'!C273 = "East", 1, 0)</f>
        <v>1</v>
      </c>
      <c r="K273" s="21">
        <f>IF('Cleaned Data'!C273 = "West", 1, 0)</f>
        <v>0</v>
      </c>
      <c r="L273" s="21">
        <f>IF('Cleaned Data'!C273 = "North", 1, 0)</f>
        <v>0</v>
      </c>
      <c r="M273" s="21">
        <f>IF('Cleaned Data'!D273 = "Airport", 1, 0)</f>
        <v>0</v>
      </c>
      <c r="N273" s="21">
        <f>IF('Cleaned Data'!D273 = "High Street", 1,0)</f>
        <v>0</v>
      </c>
      <c r="O273" s="21">
        <f>IF('Cleaned Data'!D273 = "Mall", 1,0)</f>
        <v>1</v>
      </c>
    </row>
    <row r="274" spans="1:15">
      <c r="A274" s="13">
        <v>645039.97</v>
      </c>
      <c r="B274" s="14">
        <v>50532.17</v>
      </c>
      <c r="C274" s="14">
        <v>5689</v>
      </c>
      <c r="D274" s="14">
        <v>5.1999999999999998E-2</v>
      </c>
      <c r="E274" s="14">
        <v>17</v>
      </c>
      <c r="F274" s="14">
        <v>85.6</v>
      </c>
      <c r="G274" s="14">
        <v>6.23</v>
      </c>
      <c r="H274" s="14">
        <v>0</v>
      </c>
      <c r="I274" s="14">
        <v>3.3</v>
      </c>
      <c r="J274" s="21">
        <f>IF('Cleaned Data'!C274 = "East", 1, 0)</f>
        <v>0</v>
      </c>
      <c r="K274" s="21">
        <f>IF('Cleaned Data'!C274 = "West", 1, 0)</f>
        <v>1</v>
      </c>
      <c r="L274" s="21">
        <f>IF('Cleaned Data'!C274 = "North", 1, 0)</f>
        <v>0</v>
      </c>
      <c r="M274" s="21">
        <f>IF('Cleaned Data'!D274 = "Airport", 1, 0)</f>
        <v>0</v>
      </c>
      <c r="N274" s="21">
        <f>IF('Cleaned Data'!D274 = "High Street", 1,0)</f>
        <v>1</v>
      </c>
      <c r="O274" s="21">
        <f>IF('Cleaned Data'!D274 = "Mall", 1,0)</f>
        <v>0</v>
      </c>
    </row>
    <row r="275" spans="1:15">
      <c r="A275" s="13">
        <v>561597.32999999996</v>
      </c>
      <c r="B275" s="14">
        <v>17562.57</v>
      </c>
      <c r="C275" s="14">
        <v>3326</v>
      </c>
      <c r="D275" s="14">
        <v>0.153</v>
      </c>
      <c r="E275" s="14">
        <v>14</v>
      </c>
      <c r="F275" s="14">
        <v>88.1</v>
      </c>
      <c r="G275" s="14">
        <v>1.04</v>
      </c>
      <c r="H275" s="14">
        <v>0</v>
      </c>
      <c r="I275" s="14">
        <v>3.1</v>
      </c>
      <c r="J275" s="21">
        <f>IF('Cleaned Data'!C275 = "East", 1, 0)</f>
        <v>0</v>
      </c>
      <c r="K275" s="21">
        <f>IF('Cleaned Data'!C275 = "West", 1, 0)</f>
        <v>1</v>
      </c>
      <c r="L275" s="21">
        <f>IF('Cleaned Data'!C275 = "North", 1, 0)</f>
        <v>0</v>
      </c>
      <c r="M275" s="21">
        <f>IF('Cleaned Data'!D275 = "Airport", 1, 0)</f>
        <v>0</v>
      </c>
      <c r="N275" s="21">
        <f>IF('Cleaned Data'!D275 = "High Street", 1,0)</f>
        <v>1</v>
      </c>
      <c r="O275" s="21">
        <f>IF('Cleaned Data'!D275 = "Mall", 1,0)</f>
        <v>0</v>
      </c>
    </row>
    <row r="276" spans="1:15">
      <c r="A276" s="13">
        <v>635837.74</v>
      </c>
      <c r="B276" s="14">
        <v>47648.71</v>
      </c>
      <c r="C276" s="14">
        <v>5767</v>
      </c>
      <c r="D276" s="14">
        <v>0.14099999999999999</v>
      </c>
      <c r="E276" s="14">
        <v>17</v>
      </c>
      <c r="F276" s="14">
        <v>89.8</v>
      </c>
      <c r="G276" s="14">
        <v>1.76</v>
      </c>
      <c r="H276" s="14">
        <v>0</v>
      </c>
      <c r="I276" s="14">
        <v>3.1</v>
      </c>
      <c r="J276" s="21">
        <f>IF('Cleaned Data'!C276 = "East", 1, 0)</f>
        <v>0</v>
      </c>
      <c r="K276" s="21">
        <f>IF('Cleaned Data'!C276 = "West", 1, 0)</f>
        <v>1</v>
      </c>
      <c r="L276" s="21">
        <f>IF('Cleaned Data'!C276 = "North", 1, 0)</f>
        <v>0</v>
      </c>
      <c r="M276" s="21">
        <f>IF('Cleaned Data'!D276 = "Airport", 1, 0)</f>
        <v>0</v>
      </c>
      <c r="N276" s="21">
        <f>IF('Cleaned Data'!D276 = "High Street", 1,0)</f>
        <v>1</v>
      </c>
      <c r="O276" s="21">
        <f>IF('Cleaned Data'!D276 = "Mall", 1,0)</f>
        <v>0</v>
      </c>
    </row>
    <row r="277" spans="1:15">
      <c r="A277" s="13">
        <v>686737.87</v>
      </c>
      <c r="B277" s="14">
        <v>38297.58</v>
      </c>
      <c r="C277" s="14">
        <v>5893</v>
      </c>
      <c r="D277" s="14">
        <v>0.247</v>
      </c>
      <c r="E277" s="14">
        <v>18</v>
      </c>
      <c r="F277" s="14">
        <v>77.599999999999994</v>
      </c>
      <c r="G277" s="14">
        <v>2.86</v>
      </c>
      <c r="H277" s="14">
        <v>0</v>
      </c>
      <c r="I277" s="14">
        <v>3</v>
      </c>
      <c r="J277" s="21">
        <f>IF('Cleaned Data'!C277 = "East", 1, 0)</f>
        <v>0</v>
      </c>
      <c r="K277" s="21">
        <f>IF('Cleaned Data'!C277 = "West", 1, 0)</f>
        <v>1</v>
      </c>
      <c r="L277" s="21">
        <f>IF('Cleaned Data'!C277 = "North", 1, 0)</f>
        <v>0</v>
      </c>
      <c r="M277" s="21">
        <f>IF('Cleaned Data'!D277 = "Airport", 1, 0)</f>
        <v>0</v>
      </c>
      <c r="N277" s="21">
        <f>IF('Cleaned Data'!D277 = "High Street", 1,0)</f>
        <v>1</v>
      </c>
      <c r="O277" s="21">
        <f>IF('Cleaned Data'!D277 = "Mall", 1,0)</f>
        <v>0</v>
      </c>
    </row>
    <row r="278" spans="1:15">
      <c r="A278" s="13">
        <v>673076.34</v>
      </c>
      <c r="B278" s="14">
        <v>61784.11</v>
      </c>
      <c r="C278" s="14">
        <v>8564</v>
      </c>
      <c r="D278" s="14">
        <v>0.13</v>
      </c>
      <c r="E278" s="14">
        <v>17</v>
      </c>
      <c r="F278" s="14">
        <v>87.4</v>
      </c>
      <c r="G278" s="14">
        <v>18.14</v>
      </c>
      <c r="H278" s="14">
        <v>1</v>
      </c>
      <c r="I278" s="14">
        <v>3.4</v>
      </c>
      <c r="J278" s="21">
        <f>IF('Cleaned Data'!C278 = "East", 1, 0)</f>
        <v>0</v>
      </c>
      <c r="K278" s="21">
        <f>IF('Cleaned Data'!C278 = "West", 1, 0)</f>
        <v>0</v>
      </c>
      <c r="L278" s="21">
        <f>IF('Cleaned Data'!C278 = "North", 1, 0)</f>
        <v>0</v>
      </c>
      <c r="M278" s="21">
        <f>IF('Cleaned Data'!D278 = "Airport", 1, 0)</f>
        <v>0</v>
      </c>
      <c r="N278" s="21">
        <f>IF('Cleaned Data'!D278 = "High Street", 1,0)</f>
        <v>0</v>
      </c>
      <c r="O278" s="21">
        <f>IF('Cleaned Data'!D278 = "Mall", 1,0)</f>
        <v>0</v>
      </c>
    </row>
    <row r="279" spans="1:15">
      <c r="A279" s="13">
        <v>738548.42</v>
      </c>
      <c r="B279" s="14">
        <v>36832.33</v>
      </c>
      <c r="C279" s="14">
        <v>8001</v>
      </c>
      <c r="D279" s="14">
        <v>0</v>
      </c>
      <c r="E279" s="14">
        <v>19</v>
      </c>
      <c r="F279" s="14">
        <v>88.7</v>
      </c>
      <c r="G279" s="14">
        <v>3.39</v>
      </c>
      <c r="H279" s="14">
        <v>0</v>
      </c>
      <c r="I279" s="14">
        <v>4</v>
      </c>
      <c r="J279" s="21">
        <f>IF('Cleaned Data'!C279 = "East", 1, 0)</f>
        <v>0</v>
      </c>
      <c r="K279" s="21">
        <f>IF('Cleaned Data'!C279 = "West", 1, 0)</f>
        <v>0</v>
      </c>
      <c r="L279" s="21">
        <f>IF('Cleaned Data'!C279 = "North", 1, 0)</f>
        <v>0</v>
      </c>
      <c r="M279" s="21">
        <f>IF('Cleaned Data'!D279 = "Airport", 1, 0)</f>
        <v>0</v>
      </c>
      <c r="N279" s="21">
        <f>IF('Cleaned Data'!D279 = "High Street", 1,0)</f>
        <v>0</v>
      </c>
      <c r="O279" s="21">
        <f>IF('Cleaned Data'!D279 = "Mall", 1,0)</f>
        <v>0</v>
      </c>
    </row>
    <row r="280" spans="1:15">
      <c r="A280" s="13">
        <v>756619.77</v>
      </c>
      <c r="B280" s="14">
        <v>48609.41</v>
      </c>
      <c r="C280" s="14">
        <v>9324</v>
      </c>
      <c r="D280" s="14">
        <v>0.21299999999999999</v>
      </c>
      <c r="E280" s="14">
        <v>18</v>
      </c>
      <c r="F280" s="14">
        <v>86.5</v>
      </c>
      <c r="G280" s="14">
        <v>1.44</v>
      </c>
      <c r="H280" s="14">
        <v>0</v>
      </c>
      <c r="I280" s="14">
        <v>3.9</v>
      </c>
      <c r="J280" s="21">
        <f>IF('Cleaned Data'!C280 = "East", 1, 0)</f>
        <v>0</v>
      </c>
      <c r="K280" s="21">
        <f>IF('Cleaned Data'!C280 = "West", 1, 0)</f>
        <v>0</v>
      </c>
      <c r="L280" s="21">
        <f>IF('Cleaned Data'!C280 = "North", 1, 0)</f>
        <v>0</v>
      </c>
      <c r="M280" s="21">
        <f>IF('Cleaned Data'!D280 = "Airport", 1, 0)</f>
        <v>0</v>
      </c>
      <c r="N280" s="21">
        <f>IF('Cleaned Data'!D280 = "High Street", 1,0)</f>
        <v>0</v>
      </c>
      <c r="O280" s="21">
        <f>IF('Cleaned Data'!D280 = "Mall", 1,0)</f>
        <v>0</v>
      </c>
    </row>
    <row r="281" spans="1:15">
      <c r="A281" s="13">
        <v>761122.42</v>
      </c>
      <c r="B281" s="14">
        <v>70284.06</v>
      </c>
      <c r="C281" s="14">
        <v>9109</v>
      </c>
      <c r="D281" s="14">
        <v>4.0000000000000001E-3</v>
      </c>
      <c r="E281" s="14">
        <v>23</v>
      </c>
      <c r="F281" s="14">
        <v>87</v>
      </c>
      <c r="G281" s="14">
        <v>3.65</v>
      </c>
      <c r="H281" s="14">
        <v>0</v>
      </c>
      <c r="I281" s="14">
        <v>3.7</v>
      </c>
      <c r="J281" s="21">
        <f>IF('Cleaned Data'!C281 = "East", 1, 0)</f>
        <v>0</v>
      </c>
      <c r="K281" s="21">
        <f>IF('Cleaned Data'!C281 = "West", 1, 0)</f>
        <v>0</v>
      </c>
      <c r="L281" s="21">
        <f>IF('Cleaned Data'!C281 = "North", 1, 0)</f>
        <v>0</v>
      </c>
      <c r="M281" s="21">
        <f>IF('Cleaned Data'!D281 = "Airport", 1, 0)</f>
        <v>0</v>
      </c>
      <c r="N281" s="21">
        <f>IF('Cleaned Data'!D281 = "High Street", 1,0)</f>
        <v>0</v>
      </c>
      <c r="O281" s="21">
        <f>IF('Cleaned Data'!D281 = "Mall", 1,0)</f>
        <v>0</v>
      </c>
    </row>
    <row r="282" spans="1:15">
      <c r="A282" s="13">
        <v>524899.56999999995</v>
      </c>
      <c r="B282" s="14">
        <v>45940.39</v>
      </c>
      <c r="C282" s="14">
        <v>4022</v>
      </c>
      <c r="D282" s="14">
        <v>6.9000000000000006E-2</v>
      </c>
      <c r="E282" s="14">
        <v>10</v>
      </c>
      <c r="F282" s="14">
        <v>83</v>
      </c>
      <c r="G282" s="14">
        <v>1.23</v>
      </c>
      <c r="H282" s="14">
        <v>1</v>
      </c>
      <c r="I282" s="14">
        <v>3.8</v>
      </c>
      <c r="J282" s="21">
        <f>IF('Cleaned Data'!C282 = "East", 1, 0)</f>
        <v>0</v>
      </c>
      <c r="K282" s="21">
        <f>IF('Cleaned Data'!C282 = "West", 1, 0)</f>
        <v>0</v>
      </c>
      <c r="L282" s="21">
        <f>IF('Cleaned Data'!C282 = "North", 1, 0)</f>
        <v>0</v>
      </c>
      <c r="M282" s="21">
        <f>IF('Cleaned Data'!D282 = "Airport", 1, 0)</f>
        <v>0</v>
      </c>
      <c r="N282" s="21">
        <f>IF('Cleaned Data'!D282 = "High Street", 1,0)</f>
        <v>1</v>
      </c>
      <c r="O282" s="21">
        <f>IF('Cleaned Data'!D282 = "Mall", 1,0)</f>
        <v>0</v>
      </c>
    </row>
    <row r="283" spans="1:15">
      <c r="A283" s="13">
        <v>555557.77</v>
      </c>
      <c r="B283" s="14">
        <v>34771.26</v>
      </c>
      <c r="C283" s="14">
        <v>4355</v>
      </c>
      <c r="D283" s="14">
        <v>5.0999999999999997E-2</v>
      </c>
      <c r="E283" s="14">
        <v>15</v>
      </c>
      <c r="F283" s="14">
        <v>87.9</v>
      </c>
      <c r="G283" s="14">
        <v>3.09</v>
      </c>
      <c r="H283" s="14">
        <v>0</v>
      </c>
      <c r="I283" s="14">
        <v>4</v>
      </c>
      <c r="J283" s="21">
        <f>IF('Cleaned Data'!C283 = "East", 1, 0)</f>
        <v>0</v>
      </c>
      <c r="K283" s="21">
        <f>IF('Cleaned Data'!C283 = "West", 1, 0)</f>
        <v>0</v>
      </c>
      <c r="L283" s="21">
        <f>IF('Cleaned Data'!C283 = "North", 1, 0)</f>
        <v>0</v>
      </c>
      <c r="M283" s="21">
        <f>IF('Cleaned Data'!D283 = "Airport", 1, 0)</f>
        <v>0</v>
      </c>
      <c r="N283" s="21">
        <f>IF('Cleaned Data'!D283 = "High Street", 1,0)</f>
        <v>1</v>
      </c>
      <c r="O283" s="21">
        <f>IF('Cleaned Data'!D283 = "Mall", 1,0)</f>
        <v>0</v>
      </c>
    </row>
    <row r="284" spans="1:15">
      <c r="A284" s="13">
        <v>714083.68</v>
      </c>
      <c r="B284" s="14">
        <v>66104.19</v>
      </c>
      <c r="C284" s="14">
        <v>5745</v>
      </c>
      <c r="D284" s="14">
        <v>7.0000000000000007E-2</v>
      </c>
      <c r="E284" s="14">
        <v>17</v>
      </c>
      <c r="F284" s="14">
        <v>95.8</v>
      </c>
      <c r="G284" s="14">
        <v>3.15</v>
      </c>
      <c r="H284" s="14">
        <v>0</v>
      </c>
      <c r="I284" s="14">
        <v>4</v>
      </c>
      <c r="J284" s="21">
        <f>IF('Cleaned Data'!C284 = "East", 1, 0)</f>
        <v>0</v>
      </c>
      <c r="K284" s="21">
        <f>IF('Cleaned Data'!C284 = "West", 1, 0)</f>
        <v>0</v>
      </c>
      <c r="L284" s="21">
        <f>IF('Cleaned Data'!C284 = "North", 1, 0)</f>
        <v>0</v>
      </c>
      <c r="M284" s="21">
        <f>IF('Cleaned Data'!D284 = "Airport", 1, 0)</f>
        <v>0</v>
      </c>
      <c r="N284" s="21">
        <f>IF('Cleaned Data'!D284 = "High Street", 1,0)</f>
        <v>1</v>
      </c>
      <c r="O284" s="21">
        <f>IF('Cleaned Data'!D284 = "Mall", 1,0)</f>
        <v>0</v>
      </c>
    </row>
    <row r="285" spans="1:15">
      <c r="A285" s="13">
        <v>497439.82</v>
      </c>
      <c r="B285" s="14">
        <v>18599.21</v>
      </c>
      <c r="C285" s="14">
        <v>3027</v>
      </c>
      <c r="D285" s="14">
        <v>0.122</v>
      </c>
      <c r="E285" s="14">
        <v>11</v>
      </c>
      <c r="F285" s="14">
        <v>80.900000000000006</v>
      </c>
      <c r="G285" s="14">
        <v>6.44</v>
      </c>
      <c r="H285" s="14">
        <v>0</v>
      </c>
      <c r="I285" s="14">
        <v>4.2</v>
      </c>
      <c r="J285" s="21">
        <f>IF('Cleaned Data'!C285 = "East", 1, 0)</f>
        <v>0</v>
      </c>
      <c r="K285" s="21">
        <f>IF('Cleaned Data'!C285 = "West", 1, 0)</f>
        <v>0</v>
      </c>
      <c r="L285" s="21">
        <f>IF('Cleaned Data'!C285 = "North", 1, 0)</f>
        <v>0</v>
      </c>
      <c r="M285" s="21">
        <f>IF('Cleaned Data'!D285 = "Airport", 1, 0)</f>
        <v>0</v>
      </c>
      <c r="N285" s="21">
        <f>IF('Cleaned Data'!D285 = "High Street", 1,0)</f>
        <v>1</v>
      </c>
      <c r="O285" s="21">
        <f>IF('Cleaned Data'!D285 = "Mall", 1,0)</f>
        <v>0</v>
      </c>
    </row>
    <row r="286" spans="1:15">
      <c r="A286" s="13">
        <v>636775.66</v>
      </c>
      <c r="B286" s="14">
        <v>60183.06</v>
      </c>
      <c r="C286" s="14">
        <v>5562</v>
      </c>
      <c r="D286" s="14">
        <v>8.9999999999999993E-3</v>
      </c>
      <c r="E286" s="14">
        <v>13</v>
      </c>
      <c r="F286" s="14">
        <v>86.3</v>
      </c>
      <c r="G286" s="14">
        <v>0.2</v>
      </c>
      <c r="H286" s="14">
        <v>1</v>
      </c>
      <c r="I286" s="14">
        <v>4.5</v>
      </c>
      <c r="J286" s="21">
        <f>IF('Cleaned Data'!C286 = "East", 1, 0)</f>
        <v>0</v>
      </c>
      <c r="K286" s="21">
        <f>IF('Cleaned Data'!C286 = "West", 1, 0)</f>
        <v>1</v>
      </c>
      <c r="L286" s="21">
        <f>IF('Cleaned Data'!C286 = "North", 1, 0)</f>
        <v>0</v>
      </c>
      <c r="M286" s="21">
        <f>IF('Cleaned Data'!D286 = "Airport", 1, 0)</f>
        <v>0</v>
      </c>
      <c r="N286" s="21">
        <f>IF('Cleaned Data'!D286 = "High Street", 1,0)</f>
        <v>0</v>
      </c>
      <c r="O286" s="21">
        <f>IF('Cleaned Data'!D286 = "Mall", 1,0)</f>
        <v>0</v>
      </c>
    </row>
    <row r="287" spans="1:15">
      <c r="A287" s="13">
        <v>633009.53</v>
      </c>
      <c r="B287" s="14">
        <v>74539.14</v>
      </c>
      <c r="C287" s="14">
        <v>4487</v>
      </c>
      <c r="D287" s="14">
        <v>0.14000000000000001</v>
      </c>
      <c r="E287" s="14">
        <v>10</v>
      </c>
      <c r="F287" s="14">
        <v>90.4</v>
      </c>
      <c r="G287" s="14">
        <v>0.59</v>
      </c>
      <c r="H287" s="14">
        <v>0</v>
      </c>
      <c r="I287" s="14">
        <v>4.5</v>
      </c>
      <c r="J287" s="21">
        <f>IF('Cleaned Data'!C287 = "East", 1, 0)</f>
        <v>0</v>
      </c>
      <c r="K287" s="21">
        <f>IF('Cleaned Data'!C287 = "West", 1, 0)</f>
        <v>1</v>
      </c>
      <c r="L287" s="21">
        <f>IF('Cleaned Data'!C287 = "North", 1, 0)</f>
        <v>0</v>
      </c>
      <c r="M287" s="21">
        <f>IF('Cleaned Data'!D287 = "Airport", 1, 0)</f>
        <v>0</v>
      </c>
      <c r="N287" s="21">
        <f>IF('Cleaned Data'!D287 = "High Street", 1,0)</f>
        <v>0</v>
      </c>
      <c r="O287" s="21">
        <f>IF('Cleaned Data'!D287 = "Mall", 1,0)</f>
        <v>0</v>
      </c>
    </row>
    <row r="288" spans="1:15">
      <c r="A288" s="13">
        <v>609949</v>
      </c>
      <c r="B288" s="14">
        <v>55371.97</v>
      </c>
      <c r="C288" s="14">
        <v>4162</v>
      </c>
      <c r="D288" s="14">
        <v>0.183</v>
      </c>
      <c r="E288" s="14">
        <v>11</v>
      </c>
      <c r="F288" s="14">
        <v>92</v>
      </c>
      <c r="G288" s="14">
        <v>0.2</v>
      </c>
      <c r="H288" s="14">
        <v>1</v>
      </c>
      <c r="I288" s="14">
        <v>4.2</v>
      </c>
      <c r="J288" s="21">
        <f>IF('Cleaned Data'!C288 = "East", 1, 0)</f>
        <v>0</v>
      </c>
      <c r="K288" s="21">
        <f>IF('Cleaned Data'!C288 = "West", 1, 0)</f>
        <v>1</v>
      </c>
      <c r="L288" s="21">
        <f>IF('Cleaned Data'!C288 = "North", 1, 0)</f>
        <v>0</v>
      </c>
      <c r="M288" s="21">
        <f>IF('Cleaned Data'!D288 = "Airport", 1, 0)</f>
        <v>0</v>
      </c>
      <c r="N288" s="21">
        <f>IF('Cleaned Data'!D288 = "High Street", 1,0)</f>
        <v>0</v>
      </c>
      <c r="O288" s="21">
        <f>IF('Cleaned Data'!D288 = "Mall", 1,0)</f>
        <v>0</v>
      </c>
    </row>
    <row r="289" spans="1:15">
      <c r="A289" s="13">
        <v>548103.69999999995</v>
      </c>
      <c r="B289" s="14">
        <v>40928.69</v>
      </c>
      <c r="C289" s="14">
        <v>4094</v>
      </c>
      <c r="D289" s="14">
        <v>0.17399999999999999</v>
      </c>
      <c r="E289" s="14">
        <v>13</v>
      </c>
      <c r="F289" s="14">
        <v>82.4</v>
      </c>
      <c r="G289" s="14">
        <v>1.36</v>
      </c>
      <c r="H289" s="14">
        <v>0</v>
      </c>
      <c r="I289" s="14">
        <v>4.8</v>
      </c>
      <c r="J289" s="21">
        <f>IF('Cleaned Data'!C289 = "East", 1, 0)</f>
        <v>0</v>
      </c>
      <c r="K289" s="21">
        <f>IF('Cleaned Data'!C289 = "West", 1, 0)</f>
        <v>1</v>
      </c>
      <c r="L289" s="21">
        <f>IF('Cleaned Data'!C289 = "North", 1, 0)</f>
        <v>0</v>
      </c>
      <c r="M289" s="21">
        <f>IF('Cleaned Data'!D289 = "Airport", 1, 0)</f>
        <v>0</v>
      </c>
      <c r="N289" s="21">
        <f>IF('Cleaned Data'!D289 = "High Street", 1,0)</f>
        <v>0</v>
      </c>
      <c r="O289" s="21">
        <f>IF('Cleaned Data'!D289 = "Mall", 1,0)</f>
        <v>0</v>
      </c>
    </row>
    <row r="290" spans="1:15">
      <c r="A290" s="13">
        <v>729424.42</v>
      </c>
      <c r="B290" s="14">
        <v>70012.41</v>
      </c>
      <c r="C290" s="14">
        <v>8484</v>
      </c>
      <c r="D290" s="14">
        <v>0.27300000000000002</v>
      </c>
      <c r="E290" s="14">
        <v>23</v>
      </c>
      <c r="F290" s="14">
        <v>72.900000000000006</v>
      </c>
      <c r="G290" s="14">
        <v>3.34</v>
      </c>
      <c r="H290" s="14">
        <v>0</v>
      </c>
      <c r="I290" s="14">
        <v>3.7</v>
      </c>
      <c r="J290" s="21">
        <f>IF('Cleaned Data'!C290 = "East", 1, 0)</f>
        <v>1</v>
      </c>
      <c r="K290" s="21">
        <f>IF('Cleaned Data'!C290 = "West", 1, 0)</f>
        <v>0</v>
      </c>
      <c r="L290" s="21">
        <f>IF('Cleaned Data'!C290 = "North", 1, 0)</f>
        <v>0</v>
      </c>
      <c r="M290" s="21">
        <f>IF('Cleaned Data'!D290 = "Airport", 1, 0)</f>
        <v>0</v>
      </c>
      <c r="N290" s="21">
        <f>IF('Cleaned Data'!D290 = "High Street", 1,0)</f>
        <v>0</v>
      </c>
      <c r="O290" s="21">
        <f>IF('Cleaned Data'!D290 = "Mall", 1,0)</f>
        <v>0</v>
      </c>
    </row>
    <row r="291" spans="1:15">
      <c r="A291" s="13">
        <v>696261.49</v>
      </c>
      <c r="B291" s="14">
        <v>68909.259999999995</v>
      </c>
      <c r="C291" s="14">
        <v>7794</v>
      </c>
      <c r="D291" s="14">
        <v>0.28399999999999997</v>
      </c>
      <c r="E291" s="14">
        <v>22</v>
      </c>
      <c r="F291" s="14">
        <v>89</v>
      </c>
      <c r="G291" s="14">
        <v>0.33</v>
      </c>
      <c r="H291" s="14">
        <v>0</v>
      </c>
      <c r="I291" s="14">
        <v>4</v>
      </c>
      <c r="J291" s="21">
        <f>IF('Cleaned Data'!C291 = "East", 1, 0)</f>
        <v>1</v>
      </c>
      <c r="K291" s="21">
        <f>IF('Cleaned Data'!C291 = "West", 1, 0)</f>
        <v>0</v>
      </c>
      <c r="L291" s="21">
        <f>IF('Cleaned Data'!C291 = "North", 1, 0)</f>
        <v>0</v>
      </c>
      <c r="M291" s="21">
        <f>IF('Cleaned Data'!D291 = "Airport", 1, 0)</f>
        <v>0</v>
      </c>
      <c r="N291" s="21">
        <f>IF('Cleaned Data'!D291 = "High Street", 1,0)</f>
        <v>0</v>
      </c>
      <c r="O291" s="21">
        <f>IF('Cleaned Data'!D291 = "Mall", 1,0)</f>
        <v>0</v>
      </c>
    </row>
    <row r="292" spans="1:15">
      <c r="A292" s="13">
        <v>813316.71</v>
      </c>
      <c r="B292" s="14">
        <v>56737.3</v>
      </c>
      <c r="C292" s="14">
        <v>8300</v>
      </c>
      <c r="D292" s="14">
        <v>3.2000000000000001E-2</v>
      </c>
      <c r="E292" s="14">
        <v>21</v>
      </c>
      <c r="F292" s="14">
        <v>83.2</v>
      </c>
      <c r="G292" s="14">
        <v>3.44</v>
      </c>
      <c r="H292" s="14">
        <v>1</v>
      </c>
      <c r="I292" s="14">
        <v>4.3</v>
      </c>
      <c r="J292" s="21">
        <f>IF('Cleaned Data'!C292 = "East", 1, 0)</f>
        <v>1</v>
      </c>
      <c r="K292" s="21">
        <f>IF('Cleaned Data'!C292 = "West", 1, 0)</f>
        <v>0</v>
      </c>
      <c r="L292" s="21">
        <f>IF('Cleaned Data'!C292 = "North", 1, 0)</f>
        <v>0</v>
      </c>
      <c r="M292" s="21">
        <f>IF('Cleaned Data'!D292 = "Airport", 1, 0)</f>
        <v>0</v>
      </c>
      <c r="N292" s="21">
        <f>IF('Cleaned Data'!D292 = "High Street", 1,0)</f>
        <v>0</v>
      </c>
      <c r="O292" s="21">
        <f>IF('Cleaned Data'!D292 = "Mall", 1,0)</f>
        <v>0</v>
      </c>
    </row>
    <row r="293" spans="1:15">
      <c r="A293" s="13">
        <v>702068.92</v>
      </c>
      <c r="B293" s="14">
        <v>54080.91</v>
      </c>
      <c r="C293" s="14">
        <v>7083</v>
      </c>
      <c r="D293" s="14">
        <v>0</v>
      </c>
      <c r="E293" s="14">
        <v>15</v>
      </c>
      <c r="F293" s="14">
        <v>97</v>
      </c>
      <c r="G293" s="14">
        <v>5.33</v>
      </c>
      <c r="H293" s="14">
        <v>0</v>
      </c>
      <c r="I293" s="14">
        <v>4.0999999999999996</v>
      </c>
      <c r="J293" s="21">
        <f>IF('Cleaned Data'!C293 = "East", 1, 0)</f>
        <v>1</v>
      </c>
      <c r="K293" s="21">
        <f>IF('Cleaned Data'!C293 = "West", 1, 0)</f>
        <v>0</v>
      </c>
      <c r="L293" s="21">
        <f>IF('Cleaned Data'!C293 = "North", 1, 0)</f>
        <v>0</v>
      </c>
      <c r="M293" s="21">
        <f>IF('Cleaned Data'!D293 = "Airport", 1, 0)</f>
        <v>0</v>
      </c>
      <c r="N293" s="21">
        <f>IF('Cleaned Data'!D293 = "High Street", 1,0)</f>
        <v>0</v>
      </c>
      <c r="O293" s="21">
        <f>IF('Cleaned Data'!D293 = "Mall", 1,0)</f>
        <v>0</v>
      </c>
    </row>
    <row r="294" spans="1:15">
      <c r="A294" s="13">
        <v>546223.69999999995</v>
      </c>
      <c r="B294" s="14">
        <v>51996.32</v>
      </c>
      <c r="C294" s="14">
        <v>3834</v>
      </c>
      <c r="D294" s="14">
        <v>9.6000000000000002E-2</v>
      </c>
      <c r="E294" s="14">
        <v>8</v>
      </c>
      <c r="F294" s="14">
        <v>86.7</v>
      </c>
      <c r="G294" s="14">
        <v>6.04</v>
      </c>
      <c r="H294" s="14">
        <v>0</v>
      </c>
      <c r="I294" s="14">
        <v>4.5</v>
      </c>
      <c r="J294" s="21">
        <f>IF('Cleaned Data'!C294 = "East", 1, 0)</f>
        <v>0</v>
      </c>
      <c r="K294" s="21">
        <f>IF('Cleaned Data'!C294 = "West", 1, 0)</f>
        <v>1</v>
      </c>
      <c r="L294" s="21">
        <f>IF('Cleaned Data'!C294 = "North", 1, 0)</f>
        <v>0</v>
      </c>
      <c r="M294" s="21">
        <f>IF('Cleaned Data'!D294 = "Airport", 1, 0)</f>
        <v>0</v>
      </c>
      <c r="N294" s="21">
        <f>IF('Cleaned Data'!D294 = "High Street", 1,0)</f>
        <v>1</v>
      </c>
      <c r="O294" s="21">
        <f>IF('Cleaned Data'!D294 = "Mall", 1,0)</f>
        <v>0</v>
      </c>
    </row>
    <row r="295" spans="1:15">
      <c r="A295" s="13">
        <v>533121.26</v>
      </c>
      <c r="B295" s="14">
        <v>40102.879999999997</v>
      </c>
      <c r="C295" s="14">
        <v>2358</v>
      </c>
      <c r="D295" s="14">
        <v>0.11899999999999999</v>
      </c>
      <c r="E295" s="14">
        <v>9</v>
      </c>
      <c r="F295" s="14">
        <v>88.7</v>
      </c>
      <c r="G295" s="14">
        <v>1.6</v>
      </c>
      <c r="H295" s="14">
        <v>0</v>
      </c>
      <c r="I295" s="14">
        <v>4.2</v>
      </c>
      <c r="J295" s="21">
        <f>IF('Cleaned Data'!C295 = "East", 1, 0)</f>
        <v>0</v>
      </c>
      <c r="K295" s="21">
        <f>IF('Cleaned Data'!C295 = "West", 1, 0)</f>
        <v>1</v>
      </c>
      <c r="L295" s="21">
        <f>IF('Cleaned Data'!C295 = "North", 1, 0)</f>
        <v>0</v>
      </c>
      <c r="M295" s="21">
        <f>IF('Cleaned Data'!D295 = "Airport", 1, 0)</f>
        <v>0</v>
      </c>
      <c r="N295" s="21">
        <f>IF('Cleaned Data'!D295 = "High Street", 1,0)</f>
        <v>1</v>
      </c>
      <c r="O295" s="21">
        <f>IF('Cleaned Data'!D295 = "Mall", 1,0)</f>
        <v>0</v>
      </c>
    </row>
    <row r="296" spans="1:15">
      <c r="A296" s="13">
        <v>498970.32</v>
      </c>
      <c r="B296" s="14">
        <v>59825.51</v>
      </c>
      <c r="C296" s="14">
        <v>1231</v>
      </c>
      <c r="D296" s="14">
        <v>0.214</v>
      </c>
      <c r="E296" s="14">
        <v>10</v>
      </c>
      <c r="F296" s="14">
        <v>84.8</v>
      </c>
      <c r="G296" s="14">
        <v>8.9600000000000009</v>
      </c>
      <c r="H296" s="14">
        <v>0</v>
      </c>
      <c r="I296" s="14">
        <v>4.7</v>
      </c>
      <c r="J296" s="21">
        <f>IF('Cleaned Data'!C296 = "East", 1, 0)</f>
        <v>0</v>
      </c>
      <c r="K296" s="21">
        <f>IF('Cleaned Data'!C296 = "West", 1, 0)</f>
        <v>1</v>
      </c>
      <c r="L296" s="21">
        <f>IF('Cleaned Data'!C296 = "North", 1, 0)</f>
        <v>0</v>
      </c>
      <c r="M296" s="21">
        <f>IF('Cleaned Data'!D296 = "Airport", 1, 0)</f>
        <v>0</v>
      </c>
      <c r="N296" s="21">
        <f>IF('Cleaned Data'!D296 = "High Street", 1,0)</f>
        <v>1</v>
      </c>
      <c r="O296" s="21">
        <f>IF('Cleaned Data'!D296 = "Mall", 1,0)</f>
        <v>0</v>
      </c>
    </row>
    <row r="297" spans="1:15">
      <c r="A297" s="13">
        <v>487738.26</v>
      </c>
      <c r="B297" s="14">
        <v>27398.28</v>
      </c>
      <c r="C297" s="14">
        <v>1723</v>
      </c>
      <c r="D297" s="14">
        <v>0.17100000000000001</v>
      </c>
      <c r="E297" s="14">
        <v>9</v>
      </c>
      <c r="F297" s="14">
        <v>81</v>
      </c>
      <c r="G297" s="14">
        <v>0.74</v>
      </c>
      <c r="H297" s="14">
        <v>0</v>
      </c>
      <c r="I297" s="14">
        <v>4.5999999999999996</v>
      </c>
      <c r="J297" s="21">
        <f>IF('Cleaned Data'!C297 = "East", 1, 0)</f>
        <v>0</v>
      </c>
      <c r="K297" s="21">
        <f>IF('Cleaned Data'!C297 = "West", 1, 0)</f>
        <v>1</v>
      </c>
      <c r="L297" s="21">
        <f>IF('Cleaned Data'!C297 = "North", 1, 0)</f>
        <v>0</v>
      </c>
      <c r="M297" s="21">
        <f>IF('Cleaned Data'!D297 = "Airport", 1, 0)</f>
        <v>0</v>
      </c>
      <c r="N297" s="21">
        <f>IF('Cleaned Data'!D297 = "High Street", 1,0)</f>
        <v>1</v>
      </c>
      <c r="O297" s="21">
        <f>IF('Cleaned Data'!D297 = "Mall", 1,0)</f>
        <v>0</v>
      </c>
    </row>
    <row r="298" spans="1:15">
      <c r="A298" s="13">
        <v>668459.37</v>
      </c>
      <c r="B298" s="14">
        <v>55599.56</v>
      </c>
      <c r="C298" s="14">
        <v>5896</v>
      </c>
      <c r="D298" s="14">
        <v>3.5999999999999997E-2</v>
      </c>
      <c r="E298" s="14">
        <v>12</v>
      </c>
      <c r="F298" s="14">
        <v>93.1</v>
      </c>
      <c r="G298" s="14">
        <v>6.13</v>
      </c>
      <c r="H298" s="14">
        <v>0</v>
      </c>
      <c r="I298" s="14">
        <v>3.3</v>
      </c>
      <c r="J298" s="21">
        <f>IF('Cleaned Data'!C298 = "East", 1, 0)</f>
        <v>0</v>
      </c>
      <c r="K298" s="21">
        <f>IF('Cleaned Data'!C298 = "West", 1, 0)</f>
        <v>1</v>
      </c>
      <c r="L298" s="21">
        <f>IF('Cleaned Data'!C298 = "North", 1, 0)</f>
        <v>0</v>
      </c>
      <c r="M298" s="21">
        <f>IF('Cleaned Data'!D298 = "Airport", 1, 0)</f>
        <v>0</v>
      </c>
      <c r="N298" s="21">
        <f>IF('Cleaned Data'!D298 = "High Street", 1,0)</f>
        <v>1</v>
      </c>
      <c r="O298" s="21">
        <f>IF('Cleaned Data'!D298 = "Mall", 1,0)</f>
        <v>0</v>
      </c>
    </row>
    <row r="299" spans="1:15">
      <c r="A299" s="13">
        <v>763162.45</v>
      </c>
      <c r="B299" s="14">
        <v>55477.61</v>
      </c>
      <c r="C299" s="14">
        <v>5903</v>
      </c>
      <c r="D299" s="14">
        <v>0.10199999999999999</v>
      </c>
      <c r="E299" s="14">
        <v>14</v>
      </c>
      <c r="F299" s="14">
        <v>96.2</v>
      </c>
      <c r="G299" s="14">
        <v>1.41</v>
      </c>
      <c r="H299" s="14">
        <v>0</v>
      </c>
      <c r="I299" s="14">
        <v>3.3</v>
      </c>
      <c r="J299" s="21">
        <f>IF('Cleaned Data'!C299 = "East", 1, 0)</f>
        <v>0</v>
      </c>
      <c r="K299" s="21">
        <f>IF('Cleaned Data'!C299 = "West", 1, 0)</f>
        <v>1</v>
      </c>
      <c r="L299" s="21">
        <f>IF('Cleaned Data'!C299 = "North", 1, 0)</f>
        <v>0</v>
      </c>
      <c r="M299" s="21">
        <f>IF('Cleaned Data'!D299 = "Airport", 1, 0)</f>
        <v>0</v>
      </c>
      <c r="N299" s="21">
        <f>IF('Cleaned Data'!D299 = "High Street", 1,0)</f>
        <v>1</v>
      </c>
      <c r="O299" s="21">
        <f>IF('Cleaned Data'!D299 = "Mall", 1,0)</f>
        <v>0</v>
      </c>
    </row>
    <row r="300" spans="1:15">
      <c r="A300" s="13">
        <v>599017.32999999996</v>
      </c>
      <c r="B300" s="14">
        <v>46174.7</v>
      </c>
      <c r="C300" s="14">
        <v>4898</v>
      </c>
      <c r="D300" s="14">
        <v>0.114</v>
      </c>
      <c r="E300" s="14">
        <v>11</v>
      </c>
      <c r="F300" s="14">
        <v>91.7</v>
      </c>
      <c r="G300" s="14">
        <v>3.75</v>
      </c>
      <c r="H300" s="14">
        <v>0</v>
      </c>
      <c r="I300" s="14">
        <v>3.1</v>
      </c>
      <c r="J300" s="21">
        <f>IF('Cleaned Data'!C300 = "East", 1, 0)</f>
        <v>0</v>
      </c>
      <c r="K300" s="21">
        <f>IF('Cleaned Data'!C300 = "West", 1, 0)</f>
        <v>1</v>
      </c>
      <c r="L300" s="21">
        <f>IF('Cleaned Data'!C300 = "North", 1, 0)</f>
        <v>0</v>
      </c>
      <c r="M300" s="21">
        <f>IF('Cleaned Data'!D300 = "Airport", 1, 0)</f>
        <v>0</v>
      </c>
      <c r="N300" s="21">
        <f>IF('Cleaned Data'!D300 = "High Street", 1,0)</f>
        <v>1</v>
      </c>
      <c r="O300" s="21">
        <f>IF('Cleaned Data'!D300 = "Mall", 1,0)</f>
        <v>0</v>
      </c>
    </row>
    <row r="301" spans="1:15">
      <c r="A301" s="13">
        <v>401582.58</v>
      </c>
      <c r="B301" s="14">
        <v>24362.98</v>
      </c>
      <c r="C301" s="14">
        <v>1462</v>
      </c>
      <c r="D301" s="14">
        <v>0.11700000000000001</v>
      </c>
      <c r="E301" s="14">
        <v>6</v>
      </c>
      <c r="F301" s="14">
        <v>89.3</v>
      </c>
      <c r="G301" s="14">
        <v>15.06</v>
      </c>
      <c r="H301" s="14">
        <v>0</v>
      </c>
      <c r="I301" s="14">
        <v>3.2</v>
      </c>
      <c r="J301" s="21">
        <f>IF('Cleaned Data'!C301 = "East", 1, 0)</f>
        <v>0</v>
      </c>
      <c r="K301" s="21">
        <f>IF('Cleaned Data'!C301 = "West", 1, 0)</f>
        <v>1</v>
      </c>
      <c r="L301" s="21">
        <f>IF('Cleaned Data'!C301 = "North", 1, 0)</f>
        <v>0</v>
      </c>
      <c r="M301" s="21">
        <f>IF('Cleaned Data'!D301 = "Airport", 1, 0)</f>
        <v>0</v>
      </c>
      <c r="N301" s="21">
        <f>IF('Cleaned Data'!D301 = "High Street", 1,0)</f>
        <v>1</v>
      </c>
      <c r="O301" s="21">
        <f>IF('Cleaned Data'!D301 = "Mall", 1,0)</f>
        <v>0</v>
      </c>
    </row>
    <row r="302" spans="1:15">
      <c r="A302" s="13">
        <v>703812.99</v>
      </c>
      <c r="B302" s="14">
        <v>40647.67</v>
      </c>
      <c r="C302" s="14">
        <v>8252</v>
      </c>
      <c r="D302" s="14">
        <v>0.14099999999999999</v>
      </c>
      <c r="E302" s="14">
        <v>22</v>
      </c>
      <c r="F302" s="14">
        <v>88.2</v>
      </c>
      <c r="G302" s="14">
        <v>5.07</v>
      </c>
      <c r="H302" s="14">
        <v>1</v>
      </c>
      <c r="I302" s="14">
        <v>4.0999999999999996</v>
      </c>
      <c r="J302" s="21">
        <f>IF('Cleaned Data'!C302 = "East", 1, 0)</f>
        <v>0</v>
      </c>
      <c r="K302" s="21">
        <f>IF('Cleaned Data'!C302 = "West", 1, 0)</f>
        <v>0</v>
      </c>
      <c r="L302" s="21">
        <f>IF('Cleaned Data'!C302 = "North", 1, 0)</f>
        <v>1</v>
      </c>
      <c r="M302" s="21">
        <f>IF('Cleaned Data'!D302 = "Airport", 1, 0)</f>
        <v>0</v>
      </c>
      <c r="N302" s="21">
        <f>IF('Cleaned Data'!D302 = "High Street", 1,0)</f>
        <v>0</v>
      </c>
      <c r="O302" s="21">
        <f>IF('Cleaned Data'!D302 = "Mall", 1,0)</f>
        <v>1</v>
      </c>
    </row>
    <row r="303" spans="1:15">
      <c r="A303" s="13">
        <v>724346.73</v>
      </c>
      <c r="B303" s="14">
        <v>63986.98</v>
      </c>
      <c r="C303" s="14">
        <v>7989</v>
      </c>
      <c r="D303" s="14">
        <v>7.3999999999999996E-2</v>
      </c>
      <c r="E303" s="14">
        <v>20</v>
      </c>
      <c r="F303" s="14">
        <v>83.3</v>
      </c>
      <c r="G303" s="14">
        <v>3.6</v>
      </c>
      <c r="H303" s="14">
        <v>0</v>
      </c>
      <c r="I303" s="14">
        <v>3.7</v>
      </c>
      <c r="J303" s="21">
        <f>IF('Cleaned Data'!C303 = "East", 1, 0)</f>
        <v>0</v>
      </c>
      <c r="K303" s="21">
        <f>IF('Cleaned Data'!C303 = "West", 1, 0)</f>
        <v>0</v>
      </c>
      <c r="L303" s="21">
        <f>IF('Cleaned Data'!C303 = "North", 1, 0)</f>
        <v>1</v>
      </c>
      <c r="M303" s="21">
        <f>IF('Cleaned Data'!D303 = "Airport", 1, 0)</f>
        <v>0</v>
      </c>
      <c r="N303" s="21">
        <f>IF('Cleaned Data'!D303 = "High Street", 1,0)</f>
        <v>0</v>
      </c>
      <c r="O303" s="21">
        <f>IF('Cleaned Data'!D303 = "Mall", 1,0)</f>
        <v>1</v>
      </c>
    </row>
    <row r="304" spans="1:15">
      <c r="A304" s="13">
        <v>730890.01</v>
      </c>
      <c r="B304" s="14">
        <v>52843.75</v>
      </c>
      <c r="C304" s="14">
        <v>8268</v>
      </c>
      <c r="D304" s="14">
        <v>0.13800000000000001</v>
      </c>
      <c r="E304" s="14">
        <v>19</v>
      </c>
      <c r="F304" s="14">
        <v>87.3</v>
      </c>
      <c r="G304" s="14">
        <v>4.3899999999999997</v>
      </c>
      <c r="H304" s="14">
        <v>1</v>
      </c>
      <c r="I304" s="14">
        <v>4.7</v>
      </c>
      <c r="J304" s="21">
        <f>IF('Cleaned Data'!C304 = "East", 1, 0)</f>
        <v>0</v>
      </c>
      <c r="K304" s="21">
        <f>IF('Cleaned Data'!C304 = "West", 1, 0)</f>
        <v>0</v>
      </c>
      <c r="L304" s="21">
        <f>IF('Cleaned Data'!C304 = "North", 1, 0)</f>
        <v>1</v>
      </c>
      <c r="M304" s="21">
        <f>IF('Cleaned Data'!D304 = "Airport", 1, 0)</f>
        <v>0</v>
      </c>
      <c r="N304" s="21">
        <f>IF('Cleaned Data'!D304 = "High Street", 1,0)</f>
        <v>0</v>
      </c>
      <c r="O304" s="21">
        <f>IF('Cleaned Data'!D304 = "Mall", 1,0)</f>
        <v>1</v>
      </c>
    </row>
    <row r="305" spans="1:15">
      <c r="A305" s="13">
        <v>780580.95</v>
      </c>
      <c r="B305" s="14">
        <v>31997.25</v>
      </c>
      <c r="C305" s="14">
        <v>8183</v>
      </c>
      <c r="D305" s="14">
        <v>0.19800000000000001</v>
      </c>
      <c r="E305" s="14">
        <v>18</v>
      </c>
      <c r="F305" s="14">
        <v>93</v>
      </c>
      <c r="G305" s="14">
        <v>2.79</v>
      </c>
      <c r="H305" s="14">
        <v>0</v>
      </c>
      <c r="I305" s="14">
        <v>4.2</v>
      </c>
      <c r="J305" s="21">
        <f>IF('Cleaned Data'!C305 = "East", 1, 0)</f>
        <v>0</v>
      </c>
      <c r="K305" s="21">
        <f>IF('Cleaned Data'!C305 = "West", 1, 0)</f>
        <v>0</v>
      </c>
      <c r="L305" s="21">
        <f>IF('Cleaned Data'!C305 = "North", 1, 0)</f>
        <v>1</v>
      </c>
      <c r="M305" s="21">
        <f>IF('Cleaned Data'!D305 = "Airport", 1, 0)</f>
        <v>0</v>
      </c>
      <c r="N305" s="21">
        <f>IF('Cleaned Data'!D305 = "High Street", 1,0)</f>
        <v>0</v>
      </c>
      <c r="O305" s="21">
        <f>IF('Cleaned Data'!D305 = "Mall", 1,0)</f>
        <v>1</v>
      </c>
    </row>
    <row r="306" spans="1:15">
      <c r="A306" s="13">
        <v>727957.48</v>
      </c>
      <c r="B306" s="14">
        <v>54948.02</v>
      </c>
      <c r="C306" s="14">
        <v>6534</v>
      </c>
      <c r="D306" s="14">
        <v>0.183</v>
      </c>
      <c r="E306" s="14">
        <v>14</v>
      </c>
      <c r="F306" s="14">
        <v>94.5</v>
      </c>
      <c r="G306" s="14">
        <v>1.56</v>
      </c>
      <c r="H306" s="14">
        <v>0</v>
      </c>
      <c r="I306" s="14">
        <v>4</v>
      </c>
      <c r="J306" s="21">
        <f>IF('Cleaned Data'!C306 = "East", 1, 0)</f>
        <v>0</v>
      </c>
      <c r="K306" s="21">
        <f>IF('Cleaned Data'!C306 = "West", 1, 0)</f>
        <v>0</v>
      </c>
      <c r="L306" s="21">
        <f>IF('Cleaned Data'!C306 = "North", 1, 0)</f>
        <v>0</v>
      </c>
      <c r="M306" s="21">
        <f>IF('Cleaned Data'!D306 = "Airport", 1, 0)</f>
        <v>0</v>
      </c>
      <c r="N306" s="21">
        <f>IF('Cleaned Data'!D306 = "High Street", 1,0)</f>
        <v>0</v>
      </c>
      <c r="O306" s="21">
        <f>IF('Cleaned Data'!D306 = "Mall", 1,0)</f>
        <v>0</v>
      </c>
    </row>
    <row r="307" spans="1:15">
      <c r="A307" s="13">
        <v>538376</v>
      </c>
      <c r="B307" s="14">
        <v>46146.239999999998</v>
      </c>
      <c r="C307" s="14">
        <v>5804</v>
      </c>
      <c r="D307" s="14">
        <v>4.7E-2</v>
      </c>
      <c r="E307" s="14">
        <v>16</v>
      </c>
      <c r="F307" s="14">
        <v>86.9</v>
      </c>
      <c r="G307" s="14">
        <v>15.82</v>
      </c>
      <c r="H307" s="14">
        <v>0</v>
      </c>
      <c r="I307" s="14">
        <v>3.8</v>
      </c>
      <c r="J307" s="21">
        <f>IF('Cleaned Data'!C307 = "East", 1, 0)</f>
        <v>0</v>
      </c>
      <c r="K307" s="21">
        <f>IF('Cleaned Data'!C307 = "West", 1, 0)</f>
        <v>0</v>
      </c>
      <c r="L307" s="21">
        <f>IF('Cleaned Data'!C307 = "North", 1, 0)</f>
        <v>0</v>
      </c>
      <c r="M307" s="21">
        <f>IF('Cleaned Data'!D307 = "Airport", 1, 0)</f>
        <v>0</v>
      </c>
      <c r="N307" s="21">
        <f>IF('Cleaned Data'!D307 = "High Street", 1,0)</f>
        <v>0</v>
      </c>
      <c r="O307" s="21">
        <f>IF('Cleaned Data'!D307 = "Mall", 1,0)</f>
        <v>0</v>
      </c>
    </row>
    <row r="308" spans="1:15">
      <c r="A308" s="13">
        <v>665342.49</v>
      </c>
      <c r="B308" s="14">
        <v>22387.26</v>
      </c>
      <c r="C308" s="14">
        <v>6301</v>
      </c>
      <c r="D308" s="14">
        <v>0.14599999999999999</v>
      </c>
      <c r="E308" s="14">
        <v>14</v>
      </c>
      <c r="F308" s="14">
        <v>85.9</v>
      </c>
      <c r="G308" s="14">
        <v>1.17</v>
      </c>
      <c r="H308" s="14">
        <v>1</v>
      </c>
      <c r="I308" s="14">
        <v>3.7</v>
      </c>
      <c r="J308" s="21">
        <f>IF('Cleaned Data'!C308 = "East", 1, 0)</f>
        <v>0</v>
      </c>
      <c r="K308" s="21">
        <f>IF('Cleaned Data'!C308 = "West", 1, 0)</f>
        <v>0</v>
      </c>
      <c r="L308" s="21">
        <f>IF('Cleaned Data'!C308 = "North", 1, 0)</f>
        <v>0</v>
      </c>
      <c r="M308" s="21">
        <f>IF('Cleaned Data'!D308 = "Airport", 1, 0)</f>
        <v>0</v>
      </c>
      <c r="N308" s="21">
        <f>IF('Cleaned Data'!D308 = "High Street", 1,0)</f>
        <v>0</v>
      </c>
      <c r="O308" s="21">
        <f>IF('Cleaned Data'!D308 = "Mall", 1,0)</f>
        <v>0</v>
      </c>
    </row>
    <row r="309" spans="1:15">
      <c r="A309" s="13">
        <v>651164.18000000005</v>
      </c>
      <c r="B309" s="14">
        <v>60684.05</v>
      </c>
      <c r="C309" s="14">
        <v>6399</v>
      </c>
      <c r="D309" s="14">
        <v>7.4999999999999997E-2</v>
      </c>
      <c r="E309" s="14">
        <v>16</v>
      </c>
      <c r="F309" s="14">
        <v>99</v>
      </c>
      <c r="G309" s="14">
        <v>3.82</v>
      </c>
      <c r="H309" s="14">
        <v>0</v>
      </c>
      <c r="I309" s="14">
        <v>3.5</v>
      </c>
      <c r="J309" s="21">
        <f>IF('Cleaned Data'!C309 = "East", 1, 0)</f>
        <v>0</v>
      </c>
      <c r="K309" s="21">
        <f>IF('Cleaned Data'!C309 = "West", 1, 0)</f>
        <v>0</v>
      </c>
      <c r="L309" s="21">
        <f>IF('Cleaned Data'!C309 = "North", 1, 0)</f>
        <v>0</v>
      </c>
      <c r="M309" s="21">
        <f>IF('Cleaned Data'!D309 = "Airport", 1, 0)</f>
        <v>0</v>
      </c>
      <c r="N309" s="21">
        <f>IF('Cleaned Data'!D309 = "High Street", 1,0)</f>
        <v>0</v>
      </c>
      <c r="O309" s="21">
        <f>IF('Cleaned Data'!D309 = "Mall", 1,0)</f>
        <v>0</v>
      </c>
    </row>
    <row r="310" spans="1:15">
      <c r="A310" s="13">
        <v>628538.30000000005</v>
      </c>
      <c r="B310" s="14">
        <v>48465.599999999999</v>
      </c>
      <c r="C310" s="14">
        <v>5759</v>
      </c>
      <c r="D310" s="14">
        <v>0.154</v>
      </c>
      <c r="E310" s="14">
        <v>13</v>
      </c>
      <c r="F310" s="14">
        <v>87.5</v>
      </c>
      <c r="G310" s="14">
        <v>4.1399999999999997</v>
      </c>
      <c r="H310" s="14">
        <v>0</v>
      </c>
      <c r="I310" s="14">
        <v>4</v>
      </c>
      <c r="J310" s="21">
        <f>IF('Cleaned Data'!C310 = "East", 1, 0)</f>
        <v>0</v>
      </c>
      <c r="K310" s="21">
        <f>IF('Cleaned Data'!C310 = "West", 1, 0)</f>
        <v>0</v>
      </c>
      <c r="L310" s="21">
        <f>IF('Cleaned Data'!C310 = "North", 1, 0)</f>
        <v>0</v>
      </c>
      <c r="M310" s="21">
        <f>IF('Cleaned Data'!D310 = "Airport", 1, 0)</f>
        <v>0</v>
      </c>
      <c r="N310" s="21">
        <f>IF('Cleaned Data'!D310 = "High Street", 1,0)</f>
        <v>1</v>
      </c>
      <c r="O310" s="21">
        <f>IF('Cleaned Data'!D310 = "Mall", 1,0)</f>
        <v>0</v>
      </c>
    </row>
    <row r="311" spans="1:15">
      <c r="A311" s="13">
        <v>536524.84</v>
      </c>
      <c r="B311" s="14">
        <v>23702.38</v>
      </c>
      <c r="C311" s="14">
        <v>5285</v>
      </c>
      <c r="D311" s="14">
        <v>0.16700000000000001</v>
      </c>
      <c r="E311" s="14">
        <v>14</v>
      </c>
      <c r="F311" s="14">
        <v>79.7</v>
      </c>
      <c r="G311" s="14">
        <v>1.1000000000000001</v>
      </c>
      <c r="H311" s="14">
        <v>0</v>
      </c>
      <c r="I311" s="14">
        <v>4.3</v>
      </c>
      <c r="J311" s="21">
        <f>IF('Cleaned Data'!C311 = "East", 1, 0)</f>
        <v>0</v>
      </c>
      <c r="K311" s="21">
        <f>IF('Cleaned Data'!C311 = "West", 1, 0)</f>
        <v>0</v>
      </c>
      <c r="L311" s="21">
        <f>IF('Cleaned Data'!C311 = "North", 1, 0)</f>
        <v>0</v>
      </c>
      <c r="M311" s="21">
        <f>IF('Cleaned Data'!D311 = "Airport", 1, 0)</f>
        <v>0</v>
      </c>
      <c r="N311" s="21">
        <f>IF('Cleaned Data'!D311 = "High Street", 1,0)</f>
        <v>1</v>
      </c>
      <c r="O311" s="21">
        <f>IF('Cleaned Data'!D311 = "Mall", 1,0)</f>
        <v>0</v>
      </c>
    </row>
    <row r="312" spans="1:15">
      <c r="A312" s="13">
        <v>621677.30000000005</v>
      </c>
      <c r="B312" s="14">
        <v>54322.94</v>
      </c>
      <c r="C312" s="14">
        <v>5434</v>
      </c>
      <c r="D312" s="14">
        <v>0.2</v>
      </c>
      <c r="E312" s="14">
        <v>13</v>
      </c>
      <c r="F312" s="14">
        <v>85.7</v>
      </c>
      <c r="G312" s="14">
        <v>10.6</v>
      </c>
      <c r="H312" s="14">
        <v>0</v>
      </c>
      <c r="I312" s="14">
        <v>4.2</v>
      </c>
      <c r="J312" s="21">
        <f>IF('Cleaned Data'!C312 = "East", 1, 0)</f>
        <v>0</v>
      </c>
      <c r="K312" s="21">
        <f>IF('Cleaned Data'!C312 = "West", 1, 0)</f>
        <v>0</v>
      </c>
      <c r="L312" s="21">
        <f>IF('Cleaned Data'!C312 = "North", 1, 0)</f>
        <v>0</v>
      </c>
      <c r="M312" s="21">
        <f>IF('Cleaned Data'!D312 = "Airport", 1, 0)</f>
        <v>0</v>
      </c>
      <c r="N312" s="21">
        <f>IF('Cleaned Data'!D312 = "High Street", 1,0)</f>
        <v>1</v>
      </c>
      <c r="O312" s="21">
        <f>IF('Cleaned Data'!D312 = "Mall", 1,0)</f>
        <v>0</v>
      </c>
    </row>
    <row r="313" spans="1:15">
      <c r="A313" s="13">
        <v>771129.07</v>
      </c>
      <c r="B313" s="14">
        <v>86026.58</v>
      </c>
      <c r="C313" s="14">
        <v>7479</v>
      </c>
      <c r="D313" s="14">
        <v>0.14199999999999999</v>
      </c>
      <c r="E313" s="14">
        <v>20</v>
      </c>
      <c r="F313" s="14">
        <v>89</v>
      </c>
      <c r="G313" s="14">
        <v>0.9</v>
      </c>
      <c r="H313" s="14">
        <v>0</v>
      </c>
      <c r="I313" s="14">
        <v>3.8</v>
      </c>
      <c r="J313" s="21">
        <f>IF('Cleaned Data'!C313 = "East", 1, 0)</f>
        <v>0</v>
      </c>
      <c r="K313" s="21">
        <f>IF('Cleaned Data'!C313 = "West", 1, 0)</f>
        <v>0</v>
      </c>
      <c r="L313" s="21">
        <f>IF('Cleaned Data'!C313 = "North", 1, 0)</f>
        <v>0</v>
      </c>
      <c r="M313" s="21">
        <f>IF('Cleaned Data'!D313 = "Airport", 1, 0)</f>
        <v>0</v>
      </c>
      <c r="N313" s="21">
        <f>IF('Cleaned Data'!D313 = "High Street", 1,0)</f>
        <v>1</v>
      </c>
      <c r="O313" s="21">
        <f>IF('Cleaned Data'!D313 = "Mall", 1,0)</f>
        <v>0</v>
      </c>
    </row>
    <row r="314" spans="1:15">
      <c r="A314" s="13">
        <v>702052.47</v>
      </c>
      <c r="B314" s="14">
        <v>78967.520000000004</v>
      </c>
      <c r="C314" s="14">
        <v>6164</v>
      </c>
      <c r="D314" s="14">
        <v>2.1000000000000001E-2</v>
      </c>
      <c r="E314" s="14">
        <v>16</v>
      </c>
      <c r="F314" s="14">
        <v>85.5</v>
      </c>
      <c r="G314" s="14">
        <v>0.2</v>
      </c>
      <c r="H314" s="14">
        <v>0</v>
      </c>
      <c r="I314" s="14">
        <v>3.4</v>
      </c>
      <c r="J314" s="21">
        <f>IF('Cleaned Data'!C314 = "East", 1, 0)</f>
        <v>0</v>
      </c>
      <c r="K314" s="21">
        <f>IF('Cleaned Data'!C314 = "West", 1, 0)</f>
        <v>0</v>
      </c>
      <c r="L314" s="21">
        <f>IF('Cleaned Data'!C314 = "North", 1, 0)</f>
        <v>1</v>
      </c>
      <c r="M314" s="21">
        <f>IF('Cleaned Data'!D314 = "Airport", 1, 0)</f>
        <v>0</v>
      </c>
      <c r="N314" s="21">
        <f>IF('Cleaned Data'!D314 = "High Street", 1,0)</f>
        <v>0</v>
      </c>
      <c r="O314" s="21">
        <f>IF('Cleaned Data'!D314 = "Mall", 1,0)</f>
        <v>0</v>
      </c>
    </row>
    <row r="315" spans="1:15">
      <c r="A315" s="13">
        <v>688368.46</v>
      </c>
      <c r="B315" s="14">
        <v>46767.99</v>
      </c>
      <c r="C315" s="14">
        <v>7973</v>
      </c>
      <c r="D315" s="14">
        <v>0.183</v>
      </c>
      <c r="E315" s="14">
        <v>18</v>
      </c>
      <c r="F315" s="14">
        <v>94.8</v>
      </c>
      <c r="G315" s="14">
        <v>4.67</v>
      </c>
      <c r="H315" s="14">
        <v>0</v>
      </c>
      <c r="I315" s="14">
        <v>3.9</v>
      </c>
      <c r="J315" s="21">
        <f>IF('Cleaned Data'!C315 = "East", 1, 0)</f>
        <v>0</v>
      </c>
      <c r="K315" s="21">
        <f>IF('Cleaned Data'!C315 = "West", 1, 0)</f>
        <v>0</v>
      </c>
      <c r="L315" s="21">
        <f>IF('Cleaned Data'!C315 = "North", 1, 0)</f>
        <v>1</v>
      </c>
      <c r="M315" s="21">
        <f>IF('Cleaned Data'!D315 = "Airport", 1, 0)</f>
        <v>0</v>
      </c>
      <c r="N315" s="21">
        <f>IF('Cleaned Data'!D315 = "High Street", 1,0)</f>
        <v>0</v>
      </c>
      <c r="O315" s="21">
        <f>IF('Cleaned Data'!D315 = "Mall", 1,0)</f>
        <v>0</v>
      </c>
    </row>
    <row r="316" spans="1:15">
      <c r="A316" s="13">
        <v>712375.77</v>
      </c>
      <c r="B316" s="14">
        <v>62507.16</v>
      </c>
      <c r="C316" s="14">
        <v>6000</v>
      </c>
      <c r="D316" s="14">
        <v>9.0999999999999998E-2</v>
      </c>
      <c r="E316" s="14">
        <v>14</v>
      </c>
      <c r="F316" s="14">
        <v>98.2</v>
      </c>
      <c r="G316" s="14">
        <v>4.38</v>
      </c>
      <c r="H316" s="14">
        <v>1</v>
      </c>
      <c r="I316" s="14">
        <v>3.9</v>
      </c>
      <c r="J316" s="21">
        <f>IF('Cleaned Data'!C316 = "East", 1, 0)</f>
        <v>0</v>
      </c>
      <c r="K316" s="21">
        <f>IF('Cleaned Data'!C316 = "West", 1, 0)</f>
        <v>0</v>
      </c>
      <c r="L316" s="21">
        <f>IF('Cleaned Data'!C316 = "North", 1, 0)</f>
        <v>1</v>
      </c>
      <c r="M316" s="21">
        <f>IF('Cleaned Data'!D316 = "Airport", 1, 0)</f>
        <v>0</v>
      </c>
      <c r="N316" s="21">
        <f>IF('Cleaned Data'!D316 = "High Street", 1,0)</f>
        <v>0</v>
      </c>
      <c r="O316" s="21">
        <f>IF('Cleaned Data'!D316 = "Mall", 1,0)</f>
        <v>0</v>
      </c>
    </row>
    <row r="317" spans="1:15">
      <c r="A317" s="13">
        <v>844710.67</v>
      </c>
      <c r="B317" s="14">
        <v>66456.28</v>
      </c>
      <c r="C317" s="14">
        <v>9967</v>
      </c>
      <c r="D317" s="14">
        <v>0.108</v>
      </c>
      <c r="E317" s="14">
        <v>20</v>
      </c>
      <c r="F317" s="14">
        <v>94.7</v>
      </c>
      <c r="G317" s="14">
        <v>4.4800000000000004</v>
      </c>
      <c r="H317" s="14">
        <v>0</v>
      </c>
      <c r="I317" s="14">
        <v>4.2</v>
      </c>
      <c r="J317" s="21">
        <f>IF('Cleaned Data'!C317 = "East", 1, 0)</f>
        <v>0</v>
      </c>
      <c r="K317" s="21">
        <f>IF('Cleaned Data'!C317 = "West", 1, 0)</f>
        <v>0</v>
      </c>
      <c r="L317" s="21">
        <f>IF('Cleaned Data'!C317 = "North", 1, 0)</f>
        <v>1</v>
      </c>
      <c r="M317" s="21">
        <f>IF('Cleaned Data'!D317 = "Airport", 1, 0)</f>
        <v>0</v>
      </c>
      <c r="N317" s="21">
        <f>IF('Cleaned Data'!D317 = "High Street", 1,0)</f>
        <v>0</v>
      </c>
      <c r="O317" s="21">
        <f>IF('Cleaned Data'!D317 = "Mall", 1,0)</f>
        <v>0</v>
      </c>
    </row>
    <row r="318" spans="1:15">
      <c r="A318" s="13">
        <v>620264.19999999995</v>
      </c>
      <c r="B318" s="14">
        <v>76614.320000000007</v>
      </c>
      <c r="C318" s="14">
        <v>5639</v>
      </c>
      <c r="D318" s="14">
        <v>0.17399999999999999</v>
      </c>
      <c r="E318" s="14">
        <v>15</v>
      </c>
      <c r="F318" s="14">
        <v>92.9</v>
      </c>
      <c r="G318" s="14">
        <v>1.02</v>
      </c>
      <c r="H318" s="14">
        <v>1</v>
      </c>
      <c r="I318" s="14">
        <v>4</v>
      </c>
      <c r="J318" s="21">
        <f>IF('Cleaned Data'!C318 = "East", 1, 0)</f>
        <v>1</v>
      </c>
      <c r="K318" s="21">
        <f>IF('Cleaned Data'!C318 = "West", 1, 0)</f>
        <v>0</v>
      </c>
      <c r="L318" s="21">
        <f>IF('Cleaned Data'!C318 = "North", 1, 0)</f>
        <v>0</v>
      </c>
      <c r="M318" s="21">
        <f>IF('Cleaned Data'!D318 = "Airport", 1, 0)</f>
        <v>0</v>
      </c>
      <c r="N318" s="21">
        <f>IF('Cleaned Data'!D318 = "High Street", 1,0)</f>
        <v>0</v>
      </c>
      <c r="O318" s="21">
        <f>IF('Cleaned Data'!D318 = "Mall", 1,0)</f>
        <v>0</v>
      </c>
    </row>
    <row r="319" spans="1:15">
      <c r="A319" s="13">
        <v>536845.42000000004</v>
      </c>
      <c r="B319" s="14">
        <v>24088.06</v>
      </c>
      <c r="C319" s="14">
        <v>3466</v>
      </c>
      <c r="D319" s="14">
        <v>0</v>
      </c>
      <c r="E319" s="14">
        <v>11</v>
      </c>
      <c r="F319" s="14">
        <v>88</v>
      </c>
      <c r="G319" s="14">
        <v>0.2</v>
      </c>
      <c r="H319" s="14">
        <v>0</v>
      </c>
      <c r="I319" s="14">
        <v>3.8</v>
      </c>
      <c r="J319" s="21">
        <f>IF('Cleaned Data'!C319 = "East", 1, 0)</f>
        <v>1</v>
      </c>
      <c r="K319" s="21">
        <f>IF('Cleaned Data'!C319 = "West", 1, 0)</f>
        <v>0</v>
      </c>
      <c r="L319" s="21">
        <f>IF('Cleaned Data'!C319 = "North", 1, 0)</f>
        <v>0</v>
      </c>
      <c r="M319" s="21">
        <f>IF('Cleaned Data'!D319 = "Airport", 1, 0)</f>
        <v>0</v>
      </c>
      <c r="N319" s="21">
        <f>IF('Cleaned Data'!D319 = "High Street", 1,0)</f>
        <v>0</v>
      </c>
      <c r="O319" s="21">
        <f>IF('Cleaned Data'!D319 = "Mall", 1,0)</f>
        <v>0</v>
      </c>
    </row>
    <row r="320" spans="1:15">
      <c r="A320" s="13">
        <v>726776.22</v>
      </c>
      <c r="B320" s="14">
        <v>81902.58</v>
      </c>
      <c r="C320" s="14">
        <v>7775</v>
      </c>
      <c r="D320" s="14">
        <v>0.215</v>
      </c>
      <c r="E320" s="14">
        <v>20</v>
      </c>
      <c r="F320" s="14">
        <v>85.2</v>
      </c>
      <c r="G320" s="14">
        <v>4.8899999999999997</v>
      </c>
      <c r="H320" s="14">
        <v>1</v>
      </c>
      <c r="I320" s="14">
        <v>4.2</v>
      </c>
      <c r="J320" s="21">
        <f>IF('Cleaned Data'!C320 = "East", 1, 0)</f>
        <v>1</v>
      </c>
      <c r="K320" s="21">
        <f>IF('Cleaned Data'!C320 = "West", 1, 0)</f>
        <v>0</v>
      </c>
      <c r="L320" s="21">
        <f>IF('Cleaned Data'!C320 = "North", 1, 0)</f>
        <v>0</v>
      </c>
      <c r="M320" s="21">
        <f>IF('Cleaned Data'!D320 = "Airport", 1, 0)</f>
        <v>0</v>
      </c>
      <c r="N320" s="21">
        <f>IF('Cleaned Data'!D320 = "High Street", 1,0)</f>
        <v>0</v>
      </c>
      <c r="O320" s="21">
        <f>IF('Cleaned Data'!D320 = "Mall", 1,0)</f>
        <v>0</v>
      </c>
    </row>
    <row r="321" spans="1:15">
      <c r="A321" s="13">
        <v>559660.84</v>
      </c>
      <c r="B321" s="14">
        <v>40553.11</v>
      </c>
      <c r="C321" s="14">
        <v>5317</v>
      </c>
      <c r="D321" s="14">
        <v>0.16500000000000001</v>
      </c>
      <c r="E321" s="14">
        <v>17</v>
      </c>
      <c r="F321" s="14">
        <v>84.3</v>
      </c>
      <c r="G321" s="14">
        <v>11.82</v>
      </c>
      <c r="H321" s="14">
        <v>0</v>
      </c>
      <c r="I321" s="14">
        <v>4.0999999999999996</v>
      </c>
      <c r="J321" s="21">
        <f>IF('Cleaned Data'!C321 = "East", 1, 0)</f>
        <v>1</v>
      </c>
      <c r="K321" s="21">
        <f>IF('Cleaned Data'!C321 = "West", 1, 0)</f>
        <v>0</v>
      </c>
      <c r="L321" s="21">
        <f>IF('Cleaned Data'!C321 = "North", 1, 0)</f>
        <v>0</v>
      </c>
      <c r="M321" s="21">
        <f>IF('Cleaned Data'!D321 = "Airport", 1, 0)</f>
        <v>0</v>
      </c>
      <c r="N321" s="21">
        <f>IF('Cleaned Data'!D321 = "High Street", 1,0)</f>
        <v>0</v>
      </c>
      <c r="O321" s="21">
        <f>IF('Cleaned Data'!D321 = "Mall", 1,0)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3C4F-01EA-4856-9DAC-1473F6A21DD5}">
  <dimension ref="A1:I39"/>
  <sheetViews>
    <sheetView workbookViewId="0">
      <selection activeCell="F1" sqref="F1"/>
    </sheetView>
  </sheetViews>
  <sheetFormatPr defaultRowHeight="14.25"/>
  <cols>
    <col min="1" max="1" width="21.75" customWidth="1"/>
    <col min="2" max="2" width="16.625" customWidth="1"/>
    <col min="3" max="3" width="17.125" customWidth="1"/>
    <col min="4" max="4" width="15.625" customWidth="1"/>
    <col min="5" max="5" width="15.375" customWidth="1"/>
    <col min="6" max="6" width="15.625" customWidth="1"/>
    <col min="7" max="7" width="14.125" customWidth="1"/>
    <col min="8" max="8" width="14.625" customWidth="1"/>
    <col min="9" max="9" width="15.625" customWidth="1"/>
  </cols>
  <sheetData>
    <row r="1" spans="1:9">
      <c r="A1" t="s">
        <v>131</v>
      </c>
    </row>
    <row r="2" spans="1:9" ht="15.75" thickBot="1">
      <c r="A2" s="18" t="s">
        <v>163</v>
      </c>
    </row>
    <row r="3" spans="1:9">
      <c r="A3" s="12" t="s">
        <v>132</v>
      </c>
      <c r="B3" s="12"/>
    </row>
    <row r="4" spans="1:9">
      <c r="A4" s="9" t="s">
        <v>133</v>
      </c>
      <c r="B4" s="9">
        <v>0.40895561021322352</v>
      </c>
    </row>
    <row r="5" spans="1:9">
      <c r="A5" s="9" t="s">
        <v>134</v>
      </c>
      <c r="B5" s="9">
        <v>0.16724469112487</v>
      </c>
    </row>
    <row r="6" spans="1:9">
      <c r="A6" s="9" t="s">
        <v>135</v>
      </c>
      <c r="B6" s="9">
        <v>0.16462596373847024</v>
      </c>
    </row>
    <row r="7" spans="1:9">
      <c r="A7" s="9" t="s">
        <v>136</v>
      </c>
      <c r="B7" s="9">
        <v>94846.03383215853</v>
      </c>
    </row>
    <row r="8" spans="1:9" ht="15" thickBot="1">
      <c r="A8" s="10" t="s">
        <v>137</v>
      </c>
      <c r="B8" s="10">
        <v>320</v>
      </c>
    </row>
    <row r="10" spans="1:9" ht="15" thickBot="1">
      <c r="A10" t="s">
        <v>138</v>
      </c>
    </row>
    <row r="11" spans="1:9">
      <c r="A11" s="11"/>
      <c r="B11" s="11" t="s">
        <v>143</v>
      </c>
      <c r="C11" s="11" t="s">
        <v>144</v>
      </c>
      <c r="D11" s="11" t="s">
        <v>145</v>
      </c>
      <c r="E11" s="11" t="s">
        <v>146</v>
      </c>
      <c r="F11" s="11" t="s">
        <v>147</v>
      </c>
    </row>
    <row r="12" spans="1:9">
      <c r="A12" s="9" t="s">
        <v>139</v>
      </c>
      <c r="B12" s="9">
        <v>1</v>
      </c>
      <c r="C12" s="9">
        <v>574513714277.01416</v>
      </c>
      <c r="D12" s="9">
        <v>574513714277.01416</v>
      </c>
      <c r="E12" s="9">
        <v>63.864872683367629</v>
      </c>
      <c r="F12" s="9">
        <v>2.4800615101359619E-14</v>
      </c>
    </row>
    <row r="13" spans="1:9">
      <c r="A13" s="9" t="s">
        <v>140</v>
      </c>
      <c r="B13" s="9">
        <v>318</v>
      </c>
      <c r="C13" s="9">
        <v>2860654902513.7251</v>
      </c>
      <c r="D13" s="9">
        <v>8995770133.6909599</v>
      </c>
      <c r="E13" s="9"/>
      <c r="F13" s="9"/>
    </row>
    <row r="14" spans="1:9" ht="15" thickBot="1">
      <c r="A14" s="10" t="s">
        <v>141</v>
      </c>
      <c r="B14" s="10">
        <v>319</v>
      </c>
      <c r="C14" s="10">
        <v>3435168616790.7393</v>
      </c>
      <c r="D14" s="10"/>
      <c r="E14" s="10"/>
      <c r="F14" s="10"/>
    </row>
    <row r="15" spans="1:9" ht="15" thickBot="1"/>
    <row r="16" spans="1:9">
      <c r="A16" s="11"/>
      <c r="B16" s="11" t="s">
        <v>148</v>
      </c>
      <c r="C16" s="11" t="s">
        <v>136</v>
      </c>
      <c r="D16" s="11" t="s">
        <v>149</v>
      </c>
      <c r="E16" s="11" t="s">
        <v>150</v>
      </c>
      <c r="F16" s="11" t="s">
        <v>151</v>
      </c>
      <c r="G16" s="11" t="s">
        <v>152</v>
      </c>
      <c r="H16" s="11" t="s">
        <v>153</v>
      </c>
      <c r="I16" s="11" t="s">
        <v>154</v>
      </c>
    </row>
    <row r="17" spans="1:9">
      <c r="A17" s="9" t="s">
        <v>142</v>
      </c>
      <c r="B17" s="9">
        <v>560777.34544943704</v>
      </c>
      <c r="C17" s="9">
        <v>15906.905953068674</v>
      </c>
      <c r="D17" s="9">
        <v>35.253703460870398</v>
      </c>
      <c r="E17" s="9">
        <v>6.952876876284135E-112</v>
      </c>
      <c r="F17" s="9">
        <v>529481.27234763221</v>
      </c>
      <c r="G17" s="9">
        <v>592073.41855124186</v>
      </c>
      <c r="H17" s="9">
        <v>529481.27234763221</v>
      </c>
      <c r="I17" s="9">
        <v>592073.41855124186</v>
      </c>
    </row>
    <row r="18" spans="1:9" ht="15" thickBot="1">
      <c r="A18" s="10" t="s">
        <v>4</v>
      </c>
      <c r="B18" s="10">
        <v>2.1295753275898281</v>
      </c>
      <c r="C18" s="10">
        <v>0.26647838106932348</v>
      </c>
      <c r="D18" s="10">
        <v>7.991550080138869</v>
      </c>
      <c r="E18" s="10">
        <v>2.4800615101360068E-14</v>
      </c>
      <c r="F18" s="10">
        <v>1.6052919176921738</v>
      </c>
      <c r="G18" s="10">
        <v>2.6538587374874822</v>
      </c>
      <c r="H18" s="10">
        <v>1.6052919176921738</v>
      </c>
      <c r="I18" s="10">
        <v>2.6538587374874822</v>
      </c>
    </row>
    <row r="21" spans="1:9" ht="15">
      <c r="A21" s="18" t="s">
        <v>162</v>
      </c>
    </row>
    <row r="22" spans="1:9">
      <c r="A22" t="s">
        <v>131</v>
      </c>
    </row>
    <row r="23" spans="1:9" ht="15" thickBot="1"/>
    <row r="24" spans="1:9">
      <c r="A24" s="12" t="s">
        <v>132</v>
      </c>
      <c r="B24" s="12"/>
    </row>
    <row r="25" spans="1:9">
      <c r="A25" s="9" t="s">
        <v>133</v>
      </c>
      <c r="B25" s="9">
        <v>0.85807070804410468</v>
      </c>
    </row>
    <row r="26" spans="1:9">
      <c r="A26" s="9" t="s">
        <v>134</v>
      </c>
      <c r="B26" s="9">
        <v>0.73628534000331114</v>
      </c>
    </row>
    <row r="27" spans="1:9">
      <c r="A27" s="9" t="s">
        <v>135</v>
      </c>
      <c r="B27" s="9">
        <v>0.73545604861967373</v>
      </c>
    </row>
    <row r="28" spans="1:9">
      <c r="A28" s="9" t="s">
        <v>136</v>
      </c>
      <c r="B28" s="9">
        <v>53373.736380790499</v>
      </c>
    </row>
    <row r="29" spans="1:9" ht="15" thickBot="1">
      <c r="A29" s="10" t="s">
        <v>137</v>
      </c>
      <c r="B29" s="10">
        <v>320</v>
      </c>
    </row>
    <row r="31" spans="1:9" ht="15" thickBot="1">
      <c r="A31" t="s">
        <v>138</v>
      </c>
    </row>
    <row r="32" spans="1:9">
      <c r="A32" s="11"/>
      <c r="B32" s="11" t="s">
        <v>143</v>
      </c>
      <c r="C32" s="11" t="s">
        <v>144</v>
      </c>
      <c r="D32" s="11" t="s">
        <v>145</v>
      </c>
      <c r="E32" s="11" t="s">
        <v>146</v>
      </c>
      <c r="F32" s="11" t="s">
        <v>147</v>
      </c>
    </row>
    <row r="33" spans="1:9">
      <c r="A33" s="9" t="s">
        <v>139</v>
      </c>
      <c r="B33" s="9">
        <v>1</v>
      </c>
      <c r="C33" s="9">
        <v>2529264292982.4736</v>
      </c>
      <c r="D33" s="9">
        <v>2529264292982.4736</v>
      </c>
      <c r="E33" s="9">
        <v>887.84877611276033</v>
      </c>
      <c r="F33" s="9">
        <v>4.7503615090053331E-94</v>
      </c>
    </row>
    <row r="34" spans="1:9">
      <c r="A34" s="9" t="s">
        <v>140</v>
      </c>
      <c r="B34" s="9">
        <v>318</v>
      </c>
      <c r="C34" s="9">
        <v>905904323808.26587</v>
      </c>
      <c r="D34" s="9">
        <v>2848755735.246119</v>
      </c>
      <c r="E34" s="9"/>
      <c r="F34" s="9"/>
    </row>
    <row r="35" spans="1:9" ht="15" thickBot="1">
      <c r="A35" s="10" t="s">
        <v>141</v>
      </c>
      <c r="B35" s="10">
        <v>319</v>
      </c>
      <c r="C35" s="10">
        <v>3435168616790.7393</v>
      </c>
      <c r="D35" s="10"/>
      <c r="E35" s="10"/>
      <c r="F35" s="10"/>
    </row>
    <row r="36" spans="1:9" ht="15" thickBot="1"/>
    <row r="37" spans="1:9">
      <c r="A37" s="11"/>
      <c r="B37" s="11" t="s">
        <v>148</v>
      </c>
      <c r="C37" s="11" t="s">
        <v>136</v>
      </c>
      <c r="D37" s="11" t="s">
        <v>149</v>
      </c>
      <c r="E37" s="11" t="s">
        <v>150</v>
      </c>
      <c r="F37" s="11" t="s">
        <v>151</v>
      </c>
      <c r="G37" s="11" t="s">
        <v>152</v>
      </c>
      <c r="H37" s="11" t="s">
        <v>153</v>
      </c>
      <c r="I37" s="11" t="s">
        <v>154</v>
      </c>
    </row>
    <row r="38" spans="1:9">
      <c r="A38" s="9" t="s">
        <v>142</v>
      </c>
      <c r="B38" s="9">
        <v>446410.58293395344</v>
      </c>
      <c r="C38" s="9">
        <v>8407.7382630059928</v>
      </c>
      <c r="D38" s="9">
        <v>53.095204556754318</v>
      </c>
      <c r="E38" s="9">
        <v>4.0862695711507226E-160</v>
      </c>
      <c r="F38" s="9">
        <v>429868.76191129786</v>
      </c>
      <c r="G38" s="9">
        <v>462952.40395660902</v>
      </c>
      <c r="H38" s="9">
        <v>429868.76191129786</v>
      </c>
      <c r="I38" s="9">
        <v>462952.40395660902</v>
      </c>
    </row>
    <row r="39" spans="1:9" ht="15" thickBot="1">
      <c r="A39" s="10" t="s">
        <v>5</v>
      </c>
      <c r="B39" s="10">
        <v>35.678031072640458</v>
      </c>
      <c r="C39" s="10">
        <v>1.1973782890340821</v>
      </c>
      <c r="D39" s="10">
        <v>29.796791372776362</v>
      </c>
      <c r="E39" s="10">
        <v>4.7503615090054677E-94</v>
      </c>
      <c r="F39" s="10">
        <v>33.322246825554025</v>
      </c>
      <c r="G39" s="10">
        <v>38.033815319726891</v>
      </c>
      <c r="H39" s="10">
        <v>33.322246825554025</v>
      </c>
      <c r="I39" s="10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CE3F-EBFA-4DC4-BA5A-F643F9CED5E9}">
  <dimension ref="A1:I31"/>
  <sheetViews>
    <sheetView tabSelected="1" zoomScaleNormal="100" workbookViewId="0">
      <selection activeCell="I1" sqref="I1"/>
    </sheetView>
  </sheetViews>
  <sheetFormatPr defaultRowHeight="14.25"/>
  <cols>
    <col min="1" max="1" width="17.625" customWidth="1"/>
    <col min="2" max="2" width="15.125" customWidth="1"/>
    <col min="3" max="3" width="15.625" customWidth="1"/>
    <col min="4" max="4" width="15.125" customWidth="1"/>
    <col min="5" max="5" width="15.5" customWidth="1"/>
    <col min="6" max="6" width="13.5" customWidth="1"/>
    <col min="7" max="7" width="14.25" customWidth="1"/>
    <col min="8" max="8" width="14" customWidth="1"/>
    <col min="9" max="9" width="15.625" customWidth="1"/>
  </cols>
  <sheetData>
    <row r="1" spans="1:9">
      <c r="A1" t="s">
        <v>131</v>
      </c>
    </row>
    <row r="2" spans="1:9" ht="15" thickBot="1"/>
    <row r="3" spans="1:9">
      <c r="A3" s="12" t="s">
        <v>132</v>
      </c>
      <c r="B3" s="12"/>
    </row>
    <row r="4" spans="1:9">
      <c r="A4" s="9" t="s">
        <v>133</v>
      </c>
      <c r="B4" s="9">
        <v>0.92577345353467455</v>
      </c>
    </row>
    <row r="5" spans="1:9">
      <c r="A5" s="9" t="s">
        <v>134</v>
      </c>
      <c r="B5" s="9">
        <v>0.85705648726951822</v>
      </c>
    </row>
    <row r="6" spans="1:9">
      <c r="A6" s="9" t="s">
        <v>135</v>
      </c>
      <c r="B6" s="9">
        <v>0.85049514570156171</v>
      </c>
    </row>
    <row r="7" spans="1:9">
      <c r="A7" s="9" t="s">
        <v>136</v>
      </c>
      <c r="B7" s="9">
        <v>40124.195264105423</v>
      </c>
    </row>
    <row r="8" spans="1:9" ht="15" thickBot="1">
      <c r="A8" s="10" t="s">
        <v>137</v>
      </c>
      <c r="B8" s="10">
        <v>320</v>
      </c>
    </row>
    <row r="10" spans="1:9" ht="15" thickBot="1">
      <c r="A10" t="s">
        <v>138</v>
      </c>
    </row>
    <row r="11" spans="1:9">
      <c r="A11" s="11"/>
      <c r="B11" s="11" t="s">
        <v>143</v>
      </c>
      <c r="C11" s="11" t="s">
        <v>144</v>
      </c>
      <c r="D11" s="11" t="s">
        <v>145</v>
      </c>
      <c r="E11" s="11" t="s">
        <v>146</v>
      </c>
      <c r="F11" s="11" t="s">
        <v>147</v>
      </c>
    </row>
    <row r="12" spans="1:9">
      <c r="A12" s="9" t="s">
        <v>139</v>
      </c>
      <c r="B12" s="9">
        <v>14</v>
      </c>
      <c r="C12" s="9">
        <v>2944133547885.1606</v>
      </c>
      <c r="D12" s="9">
        <v>210295253420.36862</v>
      </c>
      <c r="E12" s="9">
        <v>130.62214158383458</v>
      </c>
      <c r="F12" s="9">
        <v>1.1607311008529204E-119</v>
      </c>
    </row>
    <row r="13" spans="1:9">
      <c r="A13" s="9" t="s">
        <v>140</v>
      </c>
      <c r="B13" s="9">
        <v>305</v>
      </c>
      <c r="C13" s="9">
        <v>491035068905.57843</v>
      </c>
      <c r="D13" s="9">
        <v>1609951045.5920603</v>
      </c>
      <c r="E13" s="9"/>
      <c r="F13" s="9"/>
    </row>
    <row r="14" spans="1:9" ht="15" thickBot="1">
      <c r="A14" s="10" t="s">
        <v>141</v>
      </c>
      <c r="B14" s="10">
        <v>319</v>
      </c>
      <c r="C14" s="10">
        <v>3435168616790.7393</v>
      </c>
      <c r="D14" s="10"/>
      <c r="E14" s="10"/>
      <c r="F14" s="10"/>
    </row>
    <row r="15" spans="1:9" ht="15" thickBot="1"/>
    <row r="16" spans="1:9">
      <c r="A16" s="11"/>
      <c r="B16" s="11" t="s">
        <v>148</v>
      </c>
      <c r="C16" s="11" t="s">
        <v>136</v>
      </c>
      <c r="D16" s="11" t="s">
        <v>149</v>
      </c>
      <c r="E16" s="11" t="s">
        <v>150</v>
      </c>
      <c r="F16" s="11" t="s">
        <v>151</v>
      </c>
      <c r="G16" s="11" t="s">
        <v>152</v>
      </c>
      <c r="H16" s="11" t="s">
        <v>153</v>
      </c>
      <c r="I16" s="11" t="s">
        <v>154</v>
      </c>
    </row>
    <row r="17" spans="1:9">
      <c r="A17" s="9" t="s">
        <v>142</v>
      </c>
      <c r="B17" s="9">
        <v>62219.716546923533</v>
      </c>
      <c r="C17" s="9">
        <v>45404.929757128339</v>
      </c>
      <c r="D17" s="9">
        <v>1.3703295408612621</v>
      </c>
      <c r="E17" s="9">
        <v>0.17159180213942965</v>
      </c>
      <c r="F17" s="9">
        <v>-27126.848989745573</v>
      </c>
      <c r="G17" s="9">
        <v>151566.28208359264</v>
      </c>
      <c r="H17" s="9">
        <v>-27126.848989745573</v>
      </c>
      <c r="I17" s="9">
        <v>151566.28208359264</v>
      </c>
    </row>
    <row r="18" spans="1:9">
      <c r="A18" s="9" t="s">
        <v>4</v>
      </c>
      <c r="B18" s="9">
        <v>1.21056899748196</v>
      </c>
      <c r="C18" s="9">
        <v>0.11692031981753363</v>
      </c>
      <c r="D18" s="9">
        <v>10.353794784098913</v>
      </c>
      <c r="E18" s="9">
        <v>9.9893911180361187E-22</v>
      </c>
      <c r="F18" s="9">
        <v>0.98049642445907792</v>
      </c>
      <c r="G18" s="9">
        <v>1.440641570504835</v>
      </c>
      <c r="H18" s="9">
        <v>0.98049642445907792</v>
      </c>
      <c r="I18" s="9">
        <v>1.440641570504835</v>
      </c>
    </row>
    <row r="19" spans="1:9">
      <c r="A19" s="9" t="s">
        <v>5</v>
      </c>
      <c r="B19" s="9">
        <v>27.329868662185969</v>
      </c>
      <c r="C19" s="9">
        <v>2.3058298207262919</v>
      </c>
      <c r="D19" s="9">
        <v>11.852508982461501</v>
      </c>
      <c r="E19" s="9">
        <v>6.5486275782169662E-27</v>
      </c>
      <c r="F19" s="9">
        <v>22.792520486648183</v>
      </c>
      <c r="G19" s="9">
        <v>31.867216837723756</v>
      </c>
      <c r="H19" s="9">
        <v>22.792520486648183</v>
      </c>
      <c r="I19" s="9">
        <v>31.867216837723756</v>
      </c>
    </row>
    <row r="20" spans="1:9">
      <c r="A20" s="9" t="s">
        <v>6</v>
      </c>
      <c r="B20" s="9">
        <v>-41094.403671503336</v>
      </c>
      <c r="C20" s="9">
        <v>33866.728660578548</v>
      </c>
      <c r="D20" s="9">
        <v>-1.2134152100535747</v>
      </c>
      <c r="E20" s="9">
        <v>0.2259099688291912</v>
      </c>
      <c r="F20" s="9">
        <v>-107736.41606906519</v>
      </c>
      <c r="G20" s="9">
        <v>25547.608726058512</v>
      </c>
      <c r="H20" s="9">
        <v>-107736.41606906519</v>
      </c>
      <c r="I20" s="9">
        <v>25547.608726058512</v>
      </c>
    </row>
    <row r="21" spans="1:9">
      <c r="A21" s="9" t="s">
        <v>7</v>
      </c>
      <c r="B21" s="9">
        <v>3510.839064315524</v>
      </c>
      <c r="C21" s="9">
        <v>1161.5432615446352</v>
      </c>
      <c r="D21" s="9">
        <v>3.0225641872750955</v>
      </c>
      <c r="E21" s="9">
        <v>2.719024209633371E-3</v>
      </c>
      <c r="F21" s="9">
        <v>1225.1863456262886</v>
      </c>
      <c r="G21" s="9">
        <v>5796.4917830047598</v>
      </c>
      <c r="H21" s="9">
        <v>1225.1863456262886</v>
      </c>
      <c r="I21" s="9">
        <v>5796.4917830047598</v>
      </c>
    </row>
    <row r="22" spans="1:9">
      <c r="A22" s="9" t="s">
        <v>8</v>
      </c>
      <c r="B22" s="9">
        <v>3062.3886671079044</v>
      </c>
      <c r="C22" s="9">
        <v>425.9882996677735</v>
      </c>
      <c r="D22" s="9">
        <v>7.1889032386482175</v>
      </c>
      <c r="E22" s="9">
        <v>5.0591929195595112E-12</v>
      </c>
      <c r="F22" s="9">
        <v>2224.1406676570155</v>
      </c>
      <c r="G22" s="9">
        <v>3900.6366665587934</v>
      </c>
      <c r="H22" s="9">
        <v>2224.1406676570155</v>
      </c>
      <c r="I22" s="9">
        <v>3900.6366665587934</v>
      </c>
    </row>
    <row r="23" spans="1:9">
      <c r="A23" s="9" t="s">
        <v>9</v>
      </c>
      <c r="B23" s="9">
        <v>-3439.3951454424346</v>
      </c>
      <c r="C23" s="9">
        <v>540.13094118378251</v>
      </c>
      <c r="D23" s="9">
        <v>-6.3677062045445041</v>
      </c>
      <c r="E23" s="9">
        <v>7.0453516978548179E-10</v>
      </c>
      <c r="F23" s="9">
        <v>-4502.2498793446102</v>
      </c>
      <c r="G23" s="9">
        <v>-2376.5404115402594</v>
      </c>
      <c r="H23" s="9">
        <v>-4502.2498793446102</v>
      </c>
      <c r="I23" s="9">
        <v>-2376.5404115402594</v>
      </c>
    </row>
    <row r="24" spans="1:9">
      <c r="A24" s="9" t="s">
        <v>10</v>
      </c>
      <c r="B24" s="9">
        <v>15135.305780922745</v>
      </c>
      <c r="C24" s="9">
        <v>6126.5915301482019</v>
      </c>
      <c r="D24" s="9">
        <v>2.4704284113676862</v>
      </c>
      <c r="E24" s="9">
        <v>1.4041828090901487E-2</v>
      </c>
      <c r="F24" s="9">
        <v>3079.5683402354625</v>
      </c>
      <c r="G24" s="9">
        <v>27191.043221610027</v>
      </c>
      <c r="H24" s="9">
        <v>3079.5683402354625</v>
      </c>
      <c r="I24" s="9">
        <v>27191.043221610027</v>
      </c>
    </row>
    <row r="25" spans="1:9">
      <c r="A25" s="9" t="s">
        <v>11</v>
      </c>
      <c r="B25" s="9">
        <v>12622.239124570555</v>
      </c>
      <c r="C25" s="9">
        <v>4446.6584630152865</v>
      </c>
      <c r="D25" s="9">
        <v>2.8385897476846904</v>
      </c>
      <c r="E25" s="9">
        <v>4.8353909830716347E-3</v>
      </c>
      <c r="F25" s="9">
        <v>3872.2275308931839</v>
      </c>
      <c r="G25" s="9">
        <v>21372.250718247924</v>
      </c>
      <c r="H25" s="9">
        <v>3872.2275308931839</v>
      </c>
      <c r="I25" s="9">
        <v>21372.250718247924</v>
      </c>
    </row>
    <row r="26" spans="1:9">
      <c r="A26" s="9" t="s">
        <v>128</v>
      </c>
      <c r="B26" s="9">
        <v>-21114.068432149281</v>
      </c>
      <c r="C26" s="9">
        <v>6628.4005706352427</v>
      </c>
      <c r="D26" s="9">
        <v>-3.1853941546151581</v>
      </c>
      <c r="E26" s="9">
        <v>1.595179834114533E-3</v>
      </c>
      <c r="F26" s="9">
        <v>-34157.251829973618</v>
      </c>
      <c r="G26" s="9">
        <v>-8070.8850343249414</v>
      </c>
      <c r="H26" s="9">
        <v>-34157.251829973618</v>
      </c>
      <c r="I26" s="9">
        <v>-8070.8850343249414</v>
      </c>
    </row>
    <row r="27" spans="1:9">
      <c r="A27" s="9" t="s">
        <v>129</v>
      </c>
      <c r="B27" s="9">
        <v>4188.5303168590353</v>
      </c>
      <c r="C27" s="9">
        <v>6808.6358306400689</v>
      </c>
      <c r="D27" s="9">
        <v>0.6151790786063055</v>
      </c>
      <c r="E27" s="9">
        <v>0.53889518062582198</v>
      </c>
      <c r="F27" s="9">
        <v>-9209.3150429191519</v>
      </c>
      <c r="G27" s="9">
        <v>17586.375676637224</v>
      </c>
      <c r="H27" s="9">
        <v>-9209.3150429191519</v>
      </c>
      <c r="I27" s="9">
        <v>17586.375676637224</v>
      </c>
    </row>
    <row r="28" spans="1:9">
      <c r="A28" s="9" t="s">
        <v>130</v>
      </c>
      <c r="B28" s="9">
        <v>-11161.029179787411</v>
      </c>
      <c r="C28" s="9">
        <v>7428.7811987769883</v>
      </c>
      <c r="D28" s="9">
        <v>-1.5024038104157473</v>
      </c>
      <c r="E28" s="9">
        <v>0.13402747745185623</v>
      </c>
      <c r="F28" s="9">
        <v>-25779.17945079186</v>
      </c>
      <c r="G28" s="9">
        <v>3457.1210912170372</v>
      </c>
      <c r="H28" s="9">
        <v>-25779.17945079186</v>
      </c>
      <c r="I28" s="9">
        <v>3457.1210912170372</v>
      </c>
    </row>
    <row r="29" spans="1:9">
      <c r="A29" s="9" t="s">
        <v>124</v>
      </c>
      <c r="B29" s="9">
        <v>44722.362491805128</v>
      </c>
      <c r="C29" s="9">
        <v>8746.7441205946143</v>
      </c>
      <c r="D29" s="9">
        <v>5.1130297028472862</v>
      </c>
      <c r="E29" s="9">
        <v>5.6094580558836744E-7</v>
      </c>
      <c r="F29" s="9">
        <v>27510.761218917094</v>
      </c>
      <c r="G29" s="9">
        <v>61933.963764693166</v>
      </c>
      <c r="H29" s="9">
        <v>27510.761218917094</v>
      </c>
      <c r="I29" s="9">
        <v>61933.963764693166</v>
      </c>
    </row>
    <row r="30" spans="1:9">
      <c r="A30" s="9" t="s">
        <v>125</v>
      </c>
      <c r="B30" s="9">
        <v>20263.954751026897</v>
      </c>
      <c r="C30" s="9">
        <v>5564.7016375940557</v>
      </c>
      <c r="D30" s="9">
        <v>3.6415168450591331</v>
      </c>
      <c r="E30" s="9">
        <v>3.1833948097008451E-4</v>
      </c>
      <c r="F30" s="9">
        <v>9313.8887072125362</v>
      </c>
      <c r="G30" s="9">
        <v>31214.020794841257</v>
      </c>
      <c r="H30" s="9">
        <v>9313.8887072125362</v>
      </c>
      <c r="I30" s="9">
        <v>31214.020794841257</v>
      </c>
    </row>
    <row r="31" spans="1:9" ht="15" thickBot="1">
      <c r="A31" s="10" t="s">
        <v>126</v>
      </c>
      <c r="B31" s="10">
        <v>32837.453885702431</v>
      </c>
      <c r="C31" s="10">
        <v>6156.8902567679952</v>
      </c>
      <c r="D31" s="10">
        <v>5.3334479771838845</v>
      </c>
      <c r="E31" s="10">
        <v>1.8806350829951596E-7</v>
      </c>
      <c r="F31" s="10">
        <v>20722.095448394444</v>
      </c>
      <c r="G31" s="10">
        <v>44952.812323010417</v>
      </c>
      <c r="H31" s="10">
        <v>20722.095448394444</v>
      </c>
      <c r="I31" s="10">
        <v>44952.812323010417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11CD-CD2A-4137-8670-CBB7C2358740}">
  <dimension ref="A1:E324"/>
  <sheetViews>
    <sheetView zoomScaleNormal="100" workbookViewId="0">
      <selection activeCell="H1" sqref="H1"/>
    </sheetView>
  </sheetViews>
  <sheetFormatPr defaultRowHeight="14.25"/>
  <cols>
    <col min="1" max="1" width="12.25" customWidth="1"/>
    <col min="2" max="2" width="25.25" customWidth="1"/>
    <col min="3" max="3" width="14.75" customWidth="1"/>
  </cols>
  <sheetData>
    <row r="1" spans="1:5" ht="15">
      <c r="A1" t="s">
        <v>155</v>
      </c>
      <c r="D1" s="18" t="s">
        <v>166</v>
      </c>
    </row>
    <row r="2" spans="1:5" ht="15" thickBot="1">
      <c r="D2" s="21" t="s">
        <v>170</v>
      </c>
      <c r="E2" s="21"/>
    </row>
    <row r="3" spans="1:5">
      <c r="A3" s="11" t="s">
        <v>156</v>
      </c>
      <c r="B3" s="11" t="s">
        <v>157</v>
      </c>
      <c r="C3" s="11" t="s">
        <v>158</v>
      </c>
      <c r="D3" s="20" t="s">
        <v>171</v>
      </c>
      <c r="E3" s="20"/>
    </row>
    <row r="4" spans="1:5">
      <c r="A4" s="9">
        <v>1</v>
      </c>
      <c r="B4" s="9">
        <v>676950.78194599843</v>
      </c>
      <c r="C4" s="9">
        <v>-18118.161945998436</v>
      </c>
    </row>
    <row r="5" spans="1:5">
      <c r="A5" s="9">
        <v>2</v>
      </c>
      <c r="B5" s="9">
        <v>678940.44694808836</v>
      </c>
      <c r="C5" s="9">
        <v>-44504.446948088356</v>
      </c>
    </row>
    <row r="6" spans="1:5">
      <c r="A6" s="9">
        <v>3</v>
      </c>
      <c r="B6" s="9">
        <v>696062.00581495208</v>
      </c>
      <c r="C6" s="9">
        <v>-17339.945814952021</v>
      </c>
    </row>
    <row r="7" spans="1:5">
      <c r="A7" s="9">
        <v>4</v>
      </c>
      <c r="B7" s="9">
        <v>734539.8005274242</v>
      </c>
      <c r="C7" s="9">
        <v>-75619.500527424156</v>
      </c>
    </row>
    <row r="8" spans="1:5">
      <c r="A8" s="9">
        <v>5</v>
      </c>
      <c r="B8" s="9">
        <v>788243.29512361006</v>
      </c>
      <c r="C8" s="9">
        <v>-46901.855123610119</v>
      </c>
    </row>
    <row r="9" spans="1:5">
      <c r="A9" s="9">
        <v>6</v>
      </c>
      <c r="B9" s="9">
        <v>774017.39847112854</v>
      </c>
      <c r="C9" s="9">
        <v>-12182.058471128577</v>
      </c>
    </row>
    <row r="10" spans="1:5">
      <c r="A10" s="9">
        <v>7</v>
      </c>
      <c r="B10" s="9">
        <v>806787.12218743493</v>
      </c>
      <c r="C10" s="9">
        <v>-171.58218743489124</v>
      </c>
    </row>
    <row r="11" spans="1:5">
      <c r="A11" s="9">
        <v>8</v>
      </c>
      <c r="B11" s="9">
        <v>792772.95548899053</v>
      </c>
      <c r="C11" s="9">
        <v>57391.304511009483</v>
      </c>
    </row>
    <row r="12" spans="1:5">
      <c r="A12" s="9">
        <v>9</v>
      </c>
      <c r="B12" s="9">
        <v>873192.20125450252</v>
      </c>
      <c r="C12" s="9">
        <v>57389.498745497433</v>
      </c>
    </row>
    <row r="13" spans="1:5">
      <c r="A13" s="9">
        <v>10</v>
      </c>
      <c r="B13" s="9">
        <v>808208.5555328239</v>
      </c>
      <c r="C13" s="9">
        <v>-29197.615532823955</v>
      </c>
    </row>
    <row r="14" spans="1:5">
      <c r="A14" s="9">
        <v>11</v>
      </c>
      <c r="B14" s="9">
        <v>753973.2294981716</v>
      </c>
      <c r="C14" s="9">
        <v>-30912.469498171587</v>
      </c>
    </row>
    <row r="15" spans="1:5">
      <c r="A15" s="9">
        <v>12</v>
      </c>
      <c r="B15" s="9">
        <v>867771.30784562952</v>
      </c>
      <c r="C15" s="9">
        <v>43020.632154370425</v>
      </c>
    </row>
    <row r="16" spans="1:5">
      <c r="A16" s="9">
        <v>13</v>
      </c>
      <c r="B16" s="9">
        <v>881518.83486700361</v>
      </c>
      <c r="C16" s="9">
        <v>40649.76513299637</v>
      </c>
    </row>
    <row r="17" spans="1:3">
      <c r="A17" s="9">
        <v>14</v>
      </c>
      <c r="B17" s="9">
        <v>772216.22440115327</v>
      </c>
      <c r="C17" s="9">
        <v>-45609.944401153247</v>
      </c>
    </row>
    <row r="18" spans="1:3">
      <c r="A18" s="9">
        <v>15</v>
      </c>
      <c r="B18" s="9">
        <v>753396.30495297385</v>
      </c>
      <c r="C18" s="9">
        <v>-6895.2149529738817</v>
      </c>
    </row>
    <row r="19" spans="1:3">
      <c r="A19" s="9">
        <v>16</v>
      </c>
      <c r="B19" s="9">
        <v>808825.22589096858</v>
      </c>
      <c r="C19" s="9">
        <v>25191.794109031442</v>
      </c>
    </row>
    <row r="20" spans="1:3">
      <c r="A20" s="9">
        <v>17</v>
      </c>
      <c r="B20" s="9">
        <v>677702.29810946865</v>
      </c>
      <c r="C20" s="9">
        <v>-11549.778109468636</v>
      </c>
    </row>
    <row r="21" spans="1:3">
      <c r="A21" s="9">
        <v>18</v>
      </c>
      <c r="B21" s="9">
        <v>576913.89468587399</v>
      </c>
      <c r="C21" s="9">
        <v>-3758.7046858740505</v>
      </c>
    </row>
    <row r="22" spans="1:3">
      <c r="A22" s="9">
        <v>19</v>
      </c>
      <c r="B22" s="9">
        <v>698375.25220321247</v>
      </c>
      <c r="C22" s="9">
        <v>-31802.052203212515</v>
      </c>
    </row>
    <row r="23" spans="1:3">
      <c r="A23" s="9">
        <v>20</v>
      </c>
      <c r="B23" s="9">
        <v>614206.53072241554</v>
      </c>
      <c r="C23" s="9">
        <v>-22586.580722415587</v>
      </c>
    </row>
    <row r="24" spans="1:3">
      <c r="A24" s="9">
        <v>21</v>
      </c>
      <c r="B24" s="9">
        <v>485934.65084220708</v>
      </c>
      <c r="C24" s="9">
        <v>-70212.83084220707</v>
      </c>
    </row>
    <row r="25" spans="1:3">
      <c r="A25" s="9">
        <v>22</v>
      </c>
      <c r="B25" s="9">
        <v>503901.06685910397</v>
      </c>
      <c r="C25" s="9">
        <v>-11995.936859103967</v>
      </c>
    </row>
    <row r="26" spans="1:3">
      <c r="A26" s="9">
        <v>23</v>
      </c>
      <c r="B26" s="9">
        <v>552005.78679512313</v>
      </c>
      <c r="C26" s="9">
        <v>3923.6132048768923</v>
      </c>
    </row>
    <row r="27" spans="1:3">
      <c r="A27" s="9">
        <v>24</v>
      </c>
      <c r="B27" s="9">
        <v>566893.20193925255</v>
      </c>
      <c r="C27" s="9">
        <v>-1082.2119392525638</v>
      </c>
    </row>
    <row r="28" spans="1:3">
      <c r="A28" s="9">
        <v>25</v>
      </c>
      <c r="B28" s="9">
        <v>855355.16776761785</v>
      </c>
      <c r="C28" s="9">
        <v>-43584.027767617838</v>
      </c>
    </row>
    <row r="29" spans="1:3">
      <c r="A29" s="23">
        <v>26</v>
      </c>
      <c r="B29" s="23">
        <v>912416.85826109198</v>
      </c>
      <c r="C29" s="23">
        <v>-111964.91826109204</v>
      </c>
    </row>
    <row r="30" spans="1:3">
      <c r="A30" s="9">
        <v>27</v>
      </c>
      <c r="B30" s="9">
        <v>809468.41257023963</v>
      </c>
      <c r="C30" s="9">
        <v>-25795.592570239678</v>
      </c>
    </row>
    <row r="31" spans="1:3">
      <c r="A31" s="9">
        <v>28</v>
      </c>
      <c r="B31" s="9">
        <v>660633.6945692416</v>
      </c>
      <c r="C31" s="9">
        <v>41008.275430758367</v>
      </c>
    </row>
    <row r="32" spans="1:3">
      <c r="A32" s="9">
        <v>29</v>
      </c>
      <c r="B32" s="9">
        <v>570758.65965463046</v>
      </c>
      <c r="C32" s="9">
        <v>-58914.24965463049</v>
      </c>
    </row>
    <row r="33" spans="1:3">
      <c r="A33" s="9">
        <v>30</v>
      </c>
      <c r="B33" s="9">
        <v>511646.72246650507</v>
      </c>
      <c r="C33" s="9">
        <v>25737.067533494963</v>
      </c>
    </row>
    <row r="34" spans="1:3">
      <c r="A34" s="9">
        <v>31</v>
      </c>
      <c r="B34" s="9">
        <v>515857.78744217003</v>
      </c>
      <c r="C34" s="9">
        <v>-15684.767442170007</v>
      </c>
    </row>
    <row r="35" spans="1:3">
      <c r="A35" s="9">
        <v>32</v>
      </c>
      <c r="B35" s="9">
        <v>441770.94592220028</v>
      </c>
      <c r="C35" s="9">
        <v>-13853.565922200272</v>
      </c>
    </row>
    <row r="36" spans="1:3">
      <c r="A36" s="9">
        <v>33</v>
      </c>
      <c r="B36" s="9">
        <v>708683.39491121529</v>
      </c>
      <c r="C36" s="9">
        <v>-66818.364911215263</v>
      </c>
    </row>
    <row r="37" spans="1:3">
      <c r="A37" s="9">
        <v>34</v>
      </c>
      <c r="B37" s="9">
        <v>851360.48455300333</v>
      </c>
      <c r="C37" s="9">
        <v>-51882.724553003325</v>
      </c>
    </row>
    <row r="38" spans="1:3">
      <c r="A38" s="9">
        <v>35</v>
      </c>
      <c r="B38" s="9">
        <v>797460.68467083923</v>
      </c>
      <c r="C38" s="9">
        <v>1491.485329160816</v>
      </c>
    </row>
    <row r="39" spans="1:3">
      <c r="A39" s="9">
        <v>36</v>
      </c>
      <c r="B39" s="9">
        <v>804807.64375136117</v>
      </c>
      <c r="C39" s="9">
        <v>-3827.8637513611466</v>
      </c>
    </row>
    <row r="40" spans="1:3">
      <c r="A40" s="9">
        <v>37</v>
      </c>
      <c r="B40" s="9">
        <v>776256.41751893924</v>
      </c>
      <c r="C40" s="9">
        <v>44337.51248106081</v>
      </c>
    </row>
    <row r="41" spans="1:3">
      <c r="A41" s="9">
        <v>38</v>
      </c>
      <c r="B41" s="9">
        <v>742569.44967637758</v>
      </c>
      <c r="C41" s="9">
        <v>-24238.919676377554</v>
      </c>
    </row>
    <row r="42" spans="1:3">
      <c r="A42" s="9">
        <v>39</v>
      </c>
      <c r="B42" s="9">
        <v>749170.34819017129</v>
      </c>
      <c r="C42" s="9">
        <v>-12536.948190171272</v>
      </c>
    </row>
    <row r="43" spans="1:3">
      <c r="A43" s="9">
        <v>40</v>
      </c>
      <c r="B43" s="9">
        <v>851613.32854703208</v>
      </c>
      <c r="C43" s="9">
        <v>-22989.478547032108</v>
      </c>
    </row>
    <row r="44" spans="1:3">
      <c r="A44" s="9">
        <v>41</v>
      </c>
      <c r="B44" s="9">
        <v>580534.07401880145</v>
      </c>
      <c r="C44" s="9">
        <v>11661.775981198531</v>
      </c>
    </row>
    <row r="45" spans="1:3">
      <c r="A45" s="9">
        <v>42</v>
      </c>
      <c r="B45" s="9">
        <v>530000.81705693656</v>
      </c>
      <c r="C45" s="9">
        <v>2643.6429430634016</v>
      </c>
    </row>
    <row r="46" spans="1:3">
      <c r="A46" s="9">
        <v>43</v>
      </c>
      <c r="B46" s="9">
        <v>623537.77602249791</v>
      </c>
      <c r="C46" s="9">
        <v>33891.403977502137</v>
      </c>
    </row>
    <row r="47" spans="1:3">
      <c r="A47" s="9">
        <v>44</v>
      </c>
      <c r="B47" s="9">
        <v>603227.96824665554</v>
      </c>
      <c r="C47" s="9">
        <v>1950.0317533444613</v>
      </c>
    </row>
    <row r="48" spans="1:3">
      <c r="A48" s="23">
        <v>45</v>
      </c>
      <c r="B48" s="23">
        <v>709877.63668355334</v>
      </c>
      <c r="C48" s="23">
        <v>-114410.03668355336</v>
      </c>
    </row>
    <row r="49" spans="1:3">
      <c r="A49" s="9">
        <v>46</v>
      </c>
      <c r="B49" s="9">
        <v>631966.68097400654</v>
      </c>
      <c r="C49" s="9">
        <v>-32363.280974006513</v>
      </c>
    </row>
    <row r="50" spans="1:3">
      <c r="A50" s="9">
        <v>47</v>
      </c>
      <c r="B50" s="9">
        <v>589539.15448512917</v>
      </c>
      <c r="C50" s="9">
        <v>25260.935514870798</v>
      </c>
    </row>
    <row r="51" spans="1:3">
      <c r="A51" s="9">
        <v>48</v>
      </c>
      <c r="B51" s="9">
        <v>552988.40549265733</v>
      </c>
      <c r="C51" s="9">
        <v>32377.324507342651</v>
      </c>
    </row>
    <row r="52" spans="1:3">
      <c r="A52" s="9">
        <v>49</v>
      </c>
      <c r="B52" s="9">
        <v>674396.11799737078</v>
      </c>
      <c r="C52" s="9">
        <v>-51584.377997370786</v>
      </c>
    </row>
    <row r="53" spans="1:3">
      <c r="A53" s="9">
        <v>50</v>
      </c>
      <c r="B53" s="9">
        <v>580352.78953850246</v>
      </c>
      <c r="C53" s="9">
        <v>22944.780461497488</v>
      </c>
    </row>
    <row r="54" spans="1:3">
      <c r="A54" s="9">
        <v>51</v>
      </c>
      <c r="B54" s="9">
        <v>602466.65339033864</v>
      </c>
      <c r="C54" s="9">
        <v>23206.206609661342</v>
      </c>
    </row>
    <row r="55" spans="1:3">
      <c r="A55" s="9">
        <v>52</v>
      </c>
      <c r="B55" s="9">
        <v>744469.11348573095</v>
      </c>
      <c r="C55" s="9">
        <v>29346.026514269062</v>
      </c>
    </row>
    <row r="56" spans="1:3">
      <c r="A56" s="9">
        <v>53</v>
      </c>
      <c r="B56" s="9">
        <v>500138.66780115996</v>
      </c>
      <c r="C56" s="9">
        <v>-36604.417801159958</v>
      </c>
    </row>
    <row r="57" spans="1:3">
      <c r="A57" s="9">
        <v>54</v>
      </c>
      <c r="B57" s="9">
        <v>716555.46838690317</v>
      </c>
      <c r="C57" s="9">
        <v>30122.281613096828</v>
      </c>
    </row>
    <row r="58" spans="1:3">
      <c r="A58" s="9">
        <v>55</v>
      </c>
      <c r="B58" s="9">
        <v>698224.74778688175</v>
      </c>
      <c r="C58" s="9">
        <v>22627.752213118249</v>
      </c>
    </row>
    <row r="59" spans="1:3">
      <c r="A59" s="9">
        <v>56</v>
      </c>
      <c r="B59" s="9">
        <v>564541.1728255233</v>
      </c>
      <c r="C59" s="9">
        <v>-77076.262825523329</v>
      </c>
    </row>
    <row r="60" spans="1:3">
      <c r="A60" s="9">
        <v>57</v>
      </c>
      <c r="B60" s="9">
        <v>550195.65187615971</v>
      </c>
      <c r="C60" s="9">
        <v>-32146.391876159701</v>
      </c>
    </row>
    <row r="61" spans="1:3">
      <c r="A61" s="9">
        <v>58</v>
      </c>
      <c r="B61" s="9">
        <v>528873.20607080963</v>
      </c>
      <c r="C61" s="9">
        <v>-28574.726070809644</v>
      </c>
    </row>
    <row r="62" spans="1:3">
      <c r="A62" s="9">
        <v>59</v>
      </c>
      <c r="B62" s="9">
        <v>677862.49449624307</v>
      </c>
      <c r="C62" s="9">
        <v>-60571.344496243051</v>
      </c>
    </row>
    <row r="63" spans="1:3">
      <c r="A63" s="9">
        <v>60</v>
      </c>
      <c r="B63" s="9">
        <v>578639.29949191713</v>
      </c>
      <c r="C63" s="9">
        <v>-24882.869491917081</v>
      </c>
    </row>
    <row r="64" spans="1:3">
      <c r="A64" s="9">
        <v>61</v>
      </c>
      <c r="B64" s="9">
        <v>707761.26296099811</v>
      </c>
      <c r="C64" s="9">
        <v>41798.447039001854</v>
      </c>
    </row>
    <row r="65" spans="1:3">
      <c r="A65" s="9">
        <v>62</v>
      </c>
      <c r="B65" s="9">
        <v>581280.65212044376</v>
      </c>
      <c r="C65" s="9">
        <v>34685.827879556222</v>
      </c>
    </row>
    <row r="66" spans="1:3">
      <c r="A66" s="9">
        <v>63</v>
      </c>
      <c r="B66" s="9">
        <v>571039.18420088443</v>
      </c>
      <c r="C66" s="9">
        <v>972.01579911552835</v>
      </c>
    </row>
    <row r="67" spans="1:3">
      <c r="A67" s="9">
        <v>64</v>
      </c>
      <c r="B67" s="9">
        <v>730953.84163950151</v>
      </c>
      <c r="C67" s="9">
        <v>30906.348360498436</v>
      </c>
    </row>
    <row r="68" spans="1:3">
      <c r="A68" s="9">
        <v>65</v>
      </c>
      <c r="B68" s="9">
        <v>826937.13029893173</v>
      </c>
      <c r="C68" s="9">
        <v>-42434.450298931682</v>
      </c>
    </row>
    <row r="69" spans="1:3">
      <c r="A69" s="9">
        <v>66</v>
      </c>
      <c r="B69" s="9">
        <v>716011.87580615084</v>
      </c>
      <c r="C69" s="9">
        <v>1129.674193849205</v>
      </c>
    </row>
    <row r="70" spans="1:3">
      <c r="A70" s="23">
        <v>67</v>
      </c>
      <c r="B70" s="23">
        <v>805203.3052456266</v>
      </c>
      <c r="C70" s="23">
        <v>-119824.22524562664</v>
      </c>
    </row>
    <row r="71" spans="1:3">
      <c r="A71" s="9">
        <v>68</v>
      </c>
      <c r="B71" s="9">
        <v>740619.93047329597</v>
      </c>
      <c r="C71" s="9">
        <v>-123.28047329594847</v>
      </c>
    </row>
    <row r="72" spans="1:3">
      <c r="A72" s="9">
        <v>69</v>
      </c>
      <c r="B72" s="9">
        <v>597621.38214338163</v>
      </c>
      <c r="C72" s="9">
        <v>64305.75785661838</v>
      </c>
    </row>
    <row r="73" spans="1:3">
      <c r="A73" s="9">
        <v>70</v>
      </c>
      <c r="B73" s="9">
        <v>498300.86191263038</v>
      </c>
      <c r="C73" s="9">
        <v>-19250.361912630382</v>
      </c>
    </row>
    <row r="74" spans="1:3">
      <c r="A74" s="9">
        <v>71</v>
      </c>
      <c r="B74" s="9">
        <v>577089.82502846664</v>
      </c>
      <c r="C74" s="9">
        <v>27934.044971533353</v>
      </c>
    </row>
    <row r="75" spans="1:3">
      <c r="A75" s="9">
        <v>72</v>
      </c>
      <c r="B75" s="9">
        <v>620698.62233592535</v>
      </c>
      <c r="C75" s="9">
        <v>54075.467664074618</v>
      </c>
    </row>
    <row r="76" spans="1:3">
      <c r="A76" s="9">
        <v>73</v>
      </c>
      <c r="B76" s="9">
        <v>574260.49685563694</v>
      </c>
      <c r="C76" s="9">
        <v>41808.91314436309</v>
      </c>
    </row>
    <row r="77" spans="1:3">
      <c r="A77" s="9">
        <v>74</v>
      </c>
      <c r="B77" s="9">
        <v>677660.99018938106</v>
      </c>
      <c r="C77" s="9">
        <v>-46831.050189381116</v>
      </c>
    </row>
    <row r="78" spans="1:3">
      <c r="A78" s="9">
        <v>75</v>
      </c>
      <c r="B78" s="9">
        <v>728486.09594918543</v>
      </c>
      <c r="C78" s="9">
        <v>59601.584050814621</v>
      </c>
    </row>
    <row r="79" spans="1:3">
      <c r="A79" s="9">
        <v>76</v>
      </c>
      <c r="B79" s="9">
        <v>704926.19637077791</v>
      </c>
      <c r="C79" s="9">
        <v>-24085.836370777921</v>
      </c>
    </row>
    <row r="80" spans="1:3">
      <c r="A80" s="9">
        <v>77</v>
      </c>
      <c r="B80" s="9">
        <v>649688.18623908062</v>
      </c>
      <c r="C80" s="9">
        <v>-6030.7162390806479</v>
      </c>
    </row>
    <row r="81" spans="1:3">
      <c r="A81" s="9">
        <v>78</v>
      </c>
      <c r="B81" s="9">
        <v>640610.55605214927</v>
      </c>
      <c r="C81" s="9">
        <v>50502.043947850703</v>
      </c>
    </row>
    <row r="82" spans="1:3">
      <c r="A82" s="9">
        <v>79</v>
      </c>
      <c r="B82" s="9">
        <v>722756.44586958841</v>
      </c>
      <c r="C82" s="9">
        <v>54165.724130411632</v>
      </c>
    </row>
    <row r="83" spans="1:3">
      <c r="A83" s="9">
        <v>80</v>
      </c>
      <c r="B83" s="9">
        <v>660115.73404463171</v>
      </c>
      <c r="C83" s="9">
        <v>-23554.394044631743</v>
      </c>
    </row>
    <row r="84" spans="1:3">
      <c r="A84" s="9">
        <v>81</v>
      </c>
      <c r="B84" s="9">
        <v>663081.91974209319</v>
      </c>
      <c r="C84" s="9">
        <v>-41712.339742093231</v>
      </c>
    </row>
    <row r="85" spans="1:3">
      <c r="A85" s="9">
        <v>82</v>
      </c>
      <c r="B85" s="9">
        <v>647039.64758963254</v>
      </c>
      <c r="C85" s="9">
        <v>35168.362410367467</v>
      </c>
    </row>
    <row r="86" spans="1:3">
      <c r="A86" s="9">
        <v>83</v>
      </c>
      <c r="B86" s="9">
        <v>679069.89189976908</v>
      </c>
      <c r="C86" s="9">
        <v>48171.968100230908</v>
      </c>
    </row>
    <row r="87" spans="1:3">
      <c r="A87" s="9">
        <v>84</v>
      </c>
      <c r="B87" s="9">
        <v>571702.49714806979</v>
      </c>
      <c r="C87" s="9">
        <v>-2601.717148069758</v>
      </c>
    </row>
    <row r="88" spans="1:3">
      <c r="A88" s="9">
        <v>85</v>
      </c>
      <c r="B88" s="9">
        <v>556469.43581229623</v>
      </c>
      <c r="C88" s="9">
        <v>17966.854187703808</v>
      </c>
    </row>
    <row r="89" spans="1:3">
      <c r="A89" s="9">
        <v>86</v>
      </c>
      <c r="B89" s="9">
        <v>642255.69033697003</v>
      </c>
      <c r="C89" s="9">
        <v>-30488.970336970058</v>
      </c>
    </row>
    <row r="90" spans="1:3">
      <c r="A90" s="9">
        <v>87</v>
      </c>
      <c r="B90" s="9">
        <v>593049.53542671143</v>
      </c>
      <c r="C90" s="9">
        <v>21546.784573288518</v>
      </c>
    </row>
    <row r="91" spans="1:3">
      <c r="A91" s="9">
        <v>88</v>
      </c>
      <c r="B91" s="9">
        <v>477571.94296817255</v>
      </c>
      <c r="C91" s="9">
        <v>-26860.022968172561</v>
      </c>
    </row>
    <row r="92" spans="1:3">
      <c r="A92" s="9">
        <v>89</v>
      </c>
      <c r="B92" s="9">
        <v>696874.25206291315</v>
      </c>
      <c r="C92" s="9">
        <v>14339.207937086816</v>
      </c>
    </row>
    <row r="93" spans="1:3">
      <c r="A93" s="23">
        <v>90</v>
      </c>
      <c r="B93" s="23">
        <v>764154.65648046287</v>
      </c>
      <c r="C93" s="23">
        <v>-136982.75648046285</v>
      </c>
    </row>
    <row r="94" spans="1:3">
      <c r="A94" s="9">
        <v>91</v>
      </c>
      <c r="B94" s="9">
        <v>736831.50717333029</v>
      </c>
      <c r="C94" s="9">
        <v>3021.0728266696678</v>
      </c>
    </row>
    <row r="95" spans="1:3">
      <c r="A95" s="9">
        <v>92</v>
      </c>
      <c r="B95" s="9">
        <v>583360.97673727735</v>
      </c>
      <c r="C95" s="9">
        <v>2946.2432627226226</v>
      </c>
    </row>
    <row r="96" spans="1:3">
      <c r="A96" s="9">
        <v>93</v>
      </c>
      <c r="B96" s="9">
        <v>604992.67676317785</v>
      </c>
      <c r="C96" s="9">
        <v>-19055.196763177868</v>
      </c>
    </row>
    <row r="97" spans="1:3">
      <c r="A97" s="9">
        <v>94</v>
      </c>
      <c r="B97" s="9">
        <v>710767.7548718449</v>
      </c>
      <c r="C97" s="9">
        <v>42705.79512815515</v>
      </c>
    </row>
    <row r="98" spans="1:3">
      <c r="A98" s="9">
        <v>95</v>
      </c>
      <c r="B98" s="9">
        <v>785487.08617230528</v>
      </c>
      <c r="C98" s="9">
        <v>52763.233827694668</v>
      </c>
    </row>
    <row r="99" spans="1:3">
      <c r="A99" s="9">
        <v>96</v>
      </c>
      <c r="B99" s="9">
        <v>618165.96487883548</v>
      </c>
      <c r="C99" s="9">
        <v>-10267.844878835487</v>
      </c>
    </row>
    <row r="100" spans="1:3">
      <c r="A100" s="9">
        <v>97</v>
      </c>
      <c r="B100" s="9">
        <v>674808.10009719676</v>
      </c>
      <c r="C100" s="9">
        <v>16305.519902803237</v>
      </c>
    </row>
    <row r="101" spans="1:3">
      <c r="A101" s="9">
        <v>98</v>
      </c>
      <c r="B101" s="9">
        <v>665041.16510491876</v>
      </c>
      <c r="C101" s="9">
        <v>70468.234895081259</v>
      </c>
    </row>
    <row r="102" spans="1:3">
      <c r="A102" s="9">
        <v>99</v>
      </c>
      <c r="B102" s="9">
        <v>641915.81283151277</v>
      </c>
      <c r="C102" s="9">
        <v>-36140.482831512811</v>
      </c>
    </row>
    <row r="103" spans="1:3">
      <c r="A103" s="9">
        <v>100</v>
      </c>
      <c r="B103" s="9">
        <v>666059.66191743384</v>
      </c>
      <c r="C103" s="9">
        <v>9118.0180825662101</v>
      </c>
    </row>
    <row r="104" spans="1:3">
      <c r="A104" s="9">
        <v>101</v>
      </c>
      <c r="B104" s="9">
        <v>608459.45387667336</v>
      </c>
      <c r="C104" s="9">
        <v>26721.896123326616</v>
      </c>
    </row>
    <row r="105" spans="1:3">
      <c r="A105" s="9">
        <v>102</v>
      </c>
      <c r="B105" s="9">
        <v>620984.28086868487</v>
      </c>
      <c r="C105" s="9">
        <v>-34357.340868684929</v>
      </c>
    </row>
    <row r="106" spans="1:3">
      <c r="A106" s="9">
        <v>103</v>
      </c>
      <c r="B106" s="9">
        <v>725810.54008771281</v>
      </c>
      <c r="C106" s="9">
        <v>14292.099912287202</v>
      </c>
    </row>
    <row r="107" spans="1:3">
      <c r="A107" s="22">
        <v>104</v>
      </c>
      <c r="B107" s="22">
        <v>540333.60719262913</v>
      </c>
      <c r="C107" s="22">
        <v>85180.432807370904</v>
      </c>
    </row>
    <row r="108" spans="1:3">
      <c r="A108" s="9">
        <v>105</v>
      </c>
      <c r="B108" s="9">
        <v>706580.59710403264</v>
      </c>
      <c r="C108" s="9">
        <v>20646.602895967313</v>
      </c>
    </row>
    <row r="109" spans="1:3">
      <c r="A109" s="9">
        <v>106</v>
      </c>
      <c r="B109" s="9">
        <v>796599.27221339382</v>
      </c>
      <c r="C109" s="9">
        <v>-12801.382213393808</v>
      </c>
    </row>
    <row r="110" spans="1:3">
      <c r="A110" s="9">
        <v>107</v>
      </c>
      <c r="B110" s="9">
        <v>724459.07823010022</v>
      </c>
      <c r="C110" s="9">
        <v>70694.761769899749</v>
      </c>
    </row>
    <row r="111" spans="1:3">
      <c r="A111" s="9">
        <v>108</v>
      </c>
      <c r="B111" s="9">
        <v>630022.71065962198</v>
      </c>
      <c r="C111" s="9">
        <v>35572.229340377962</v>
      </c>
    </row>
    <row r="112" spans="1:3">
      <c r="A112" s="9">
        <v>109</v>
      </c>
      <c r="B112" s="9">
        <v>686711.33454926242</v>
      </c>
      <c r="C112" s="9">
        <v>22767.055450737593</v>
      </c>
    </row>
    <row r="113" spans="1:3">
      <c r="A113" s="9">
        <v>110</v>
      </c>
      <c r="B113" s="9">
        <v>631586.63946359733</v>
      </c>
      <c r="C113" s="9">
        <v>32575.850536402664</v>
      </c>
    </row>
    <row r="114" spans="1:3">
      <c r="A114" s="9">
        <v>111</v>
      </c>
      <c r="B114" s="9">
        <v>657050.95315382327</v>
      </c>
      <c r="C114" s="9">
        <v>-23556.743153823307</v>
      </c>
    </row>
    <row r="115" spans="1:3">
      <c r="A115" s="22">
        <v>112</v>
      </c>
      <c r="B115" s="22">
        <v>610473.89158827672</v>
      </c>
      <c r="C115" s="22">
        <v>103137.26841172331</v>
      </c>
    </row>
    <row r="116" spans="1:3">
      <c r="A116" s="9">
        <v>113</v>
      </c>
      <c r="B116" s="9">
        <v>758258.96096700057</v>
      </c>
      <c r="C116" s="9">
        <v>20139.009032999398</v>
      </c>
    </row>
    <row r="117" spans="1:3">
      <c r="A117" s="9">
        <v>114</v>
      </c>
      <c r="B117" s="9">
        <v>850818.77332006907</v>
      </c>
      <c r="C117" s="9">
        <v>22561.246679930948</v>
      </c>
    </row>
    <row r="118" spans="1:3">
      <c r="A118" s="9">
        <v>115</v>
      </c>
      <c r="B118" s="9">
        <v>751991.01892801072</v>
      </c>
      <c r="C118" s="9">
        <v>-54703.118928010692</v>
      </c>
    </row>
    <row r="119" spans="1:3">
      <c r="A119" s="9">
        <v>116</v>
      </c>
      <c r="B119" s="9">
        <v>761535.56806887151</v>
      </c>
      <c r="C119" s="9">
        <v>-43460.77806887147</v>
      </c>
    </row>
    <row r="120" spans="1:3">
      <c r="A120" s="9">
        <v>117</v>
      </c>
      <c r="B120" s="9">
        <v>729488.45766224829</v>
      </c>
      <c r="C120" s="9">
        <v>-14546.027662248234</v>
      </c>
    </row>
    <row r="121" spans="1:3">
      <c r="A121" s="9">
        <v>118</v>
      </c>
      <c r="B121" s="9">
        <v>738353.25059187808</v>
      </c>
      <c r="C121" s="9">
        <v>82165.789408121957</v>
      </c>
    </row>
    <row r="122" spans="1:3">
      <c r="A122" s="9">
        <v>119</v>
      </c>
      <c r="B122" s="9">
        <v>711199.05490601028</v>
      </c>
      <c r="C122" s="9">
        <v>-26981.73490601033</v>
      </c>
    </row>
    <row r="123" spans="1:3">
      <c r="A123" s="9">
        <v>120</v>
      </c>
      <c r="B123" s="9">
        <v>729130.15134482493</v>
      </c>
      <c r="C123" s="9">
        <v>6350.0386551750125</v>
      </c>
    </row>
    <row r="124" spans="1:3">
      <c r="A124" s="9">
        <v>121</v>
      </c>
      <c r="B124" s="9">
        <v>558116.74500307068</v>
      </c>
      <c r="C124" s="9">
        <v>-48631.935003070685</v>
      </c>
    </row>
    <row r="125" spans="1:3">
      <c r="A125" s="9">
        <v>122</v>
      </c>
      <c r="B125" s="9">
        <v>634874.78376070096</v>
      </c>
      <c r="C125" s="9">
        <v>19442.30623929901</v>
      </c>
    </row>
    <row r="126" spans="1:3">
      <c r="A126" s="9">
        <v>123</v>
      </c>
      <c r="B126" s="9">
        <v>605823.95638205786</v>
      </c>
      <c r="C126" s="9">
        <v>-48336.696382057853</v>
      </c>
    </row>
    <row r="127" spans="1:3">
      <c r="A127" s="9">
        <v>124</v>
      </c>
      <c r="B127" s="9">
        <v>473454.44355524477</v>
      </c>
      <c r="C127" s="9">
        <v>-32179.023555244785</v>
      </c>
    </row>
    <row r="128" spans="1:3">
      <c r="A128" s="9">
        <v>125</v>
      </c>
      <c r="B128" s="9">
        <v>861291.54227058811</v>
      </c>
      <c r="C128" s="9">
        <v>53252.627729411935</v>
      </c>
    </row>
    <row r="129" spans="1:3">
      <c r="A129" s="9">
        <v>126</v>
      </c>
      <c r="B129" s="9">
        <v>881632.05196726043</v>
      </c>
      <c r="C129" s="9">
        <v>-39192.381967260386</v>
      </c>
    </row>
    <row r="130" spans="1:3">
      <c r="A130" s="9">
        <v>127</v>
      </c>
      <c r="B130" s="9">
        <v>803009.58034903801</v>
      </c>
      <c r="C130" s="9">
        <v>39148.339650962036</v>
      </c>
    </row>
    <row r="131" spans="1:3">
      <c r="A131" s="9">
        <v>128</v>
      </c>
      <c r="B131" s="9">
        <v>714917.16401382966</v>
      </c>
      <c r="C131" s="9">
        <v>-17761.864013829618</v>
      </c>
    </row>
    <row r="132" spans="1:3">
      <c r="A132" s="9">
        <v>129</v>
      </c>
      <c r="B132" s="9">
        <v>858014.97799548018</v>
      </c>
      <c r="C132" s="9">
        <v>-8996.6779954801314</v>
      </c>
    </row>
    <row r="133" spans="1:3">
      <c r="A133" s="9">
        <v>130</v>
      </c>
      <c r="B133" s="9">
        <v>811470.12049202027</v>
      </c>
      <c r="C133" s="9">
        <v>-9639.7704920202959</v>
      </c>
    </row>
    <row r="134" spans="1:3">
      <c r="A134" s="9">
        <v>131</v>
      </c>
      <c r="B134" s="9">
        <v>788040.67403792846</v>
      </c>
      <c r="C134" s="9">
        <v>-62805.394037928432</v>
      </c>
    </row>
    <row r="135" spans="1:3">
      <c r="A135" s="9">
        <v>132</v>
      </c>
      <c r="B135" s="9">
        <v>805579.18774700095</v>
      </c>
      <c r="C135" s="9">
        <v>5873.5322529990226</v>
      </c>
    </row>
    <row r="136" spans="1:3">
      <c r="A136" s="9">
        <v>133</v>
      </c>
      <c r="B136" s="9">
        <v>579668.10826092446</v>
      </c>
      <c r="C136" s="9">
        <v>-52367.978260924458</v>
      </c>
    </row>
    <row r="137" spans="1:3">
      <c r="A137" s="9">
        <v>134</v>
      </c>
      <c r="B137" s="9">
        <v>461291.97773623455</v>
      </c>
      <c r="C137" s="9">
        <v>-60460.327736234525</v>
      </c>
    </row>
    <row r="138" spans="1:3">
      <c r="A138" s="9">
        <v>135</v>
      </c>
      <c r="B138" s="9">
        <v>614238.2043216778</v>
      </c>
      <c r="C138" s="9">
        <v>-20990.954321677797</v>
      </c>
    </row>
    <row r="139" spans="1:3">
      <c r="A139" s="9">
        <v>136</v>
      </c>
      <c r="B139" s="9">
        <v>552821.26127149665</v>
      </c>
      <c r="C139" s="9">
        <v>-23745.311271496699</v>
      </c>
    </row>
    <row r="140" spans="1:3">
      <c r="A140" s="9">
        <v>137</v>
      </c>
      <c r="B140" s="9">
        <v>709085.89433272439</v>
      </c>
      <c r="C140" s="9">
        <v>-75447.864332724363</v>
      </c>
    </row>
    <row r="141" spans="1:3">
      <c r="A141" s="9">
        <v>138</v>
      </c>
      <c r="B141" s="9">
        <v>689436.55969143449</v>
      </c>
      <c r="C141" s="9">
        <v>53912.280308565474</v>
      </c>
    </row>
    <row r="142" spans="1:3">
      <c r="A142" s="9">
        <v>139</v>
      </c>
      <c r="B142" s="9">
        <v>712580.0917386855</v>
      </c>
      <c r="C142" s="9">
        <v>46247.548261314514</v>
      </c>
    </row>
    <row r="143" spans="1:3">
      <c r="A143" s="9">
        <v>140</v>
      </c>
      <c r="B143" s="9">
        <v>610659.66897704417</v>
      </c>
      <c r="C143" s="9">
        <v>35900.041022955789</v>
      </c>
    </row>
    <row r="144" spans="1:3">
      <c r="A144" s="9">
        <v>141</v>
      </c>
      <c r="B144" s="9">
        <v>685159.82255278097</v>
      </c>
      <c r="C144" s="9">
        <v>30730.707447219058</v>
      </c>
    </row>
    <row r="145" spans="1:3">
      <c r="A145" s="9">
        <v>142</v>
      </c>
      <c r="B145" s="9">
        <v>707770.88246910798</v>
      </c>
      <c r="C145" s="9">
        <v>7326.6875308919698</v>
      </c>
    </row>
    <row r="146" spans="1:3">
      <c r="A146" s="9">
        <v>143</v>
      </c>
      <c r="B146" s="9">
        <v>663042.78370962339</v>
      </c>
      <c r="C146" s="9">
        <v>19596.496290376643</v>
      </c>
    </row>
    <row r="147" spans="1:3">
      <c r="A147" s="9">
        <v>144</v>
      </c>
      <c r="B147" s="9">
        <v>676807.95483969664</v>
      </c>
      <c r="C147" s="9">
        <v>18290.555160303367</v>
      </c>
    </row>
    <row r="148" spans="1:3">
      <c r="A148" s="9">
        <v>145</v>
      </c>
      <c r="B148" s="9">
        <v>593279.49218025932</v>
      </c>
      <c r="C148" s="9">
        <v>-15546.922180259367</v>
      </c>
    </row>
    <row r="149" spans="1:3">
      <c r="A149" s="9">
        <v>146</v>
      </c>
      <c r="B149" s="9">
        <v>536019.44237727986</v>
      </c>
      <c r="C149" s="9">
        <v>1038.8876227200963</v>
      </c>
    </row>
    <row r="150" spans="1:3">
      <c r="A150" s="9">
        <v>147</v>
      </c>
      <c r="B150" s="9">
        <v>587416.24937885522</v>
      </c>
      <c r="C150" s="9">
        <v>14152.620621144772</v>
      </c>
    </row>
    <row r="151" spans="1:3">
      <c r="A151" s="9">
        <v>148</v>
      </c>
      <c r="B151" s="9">
        <v>553101.38360183837</v>
      </c>
      <c r="C151" s="9">
        <v>17863.456398161594</v>
      </c>
    </row>
    <row r="152" spans="1:3">
      <c r="A152" s="9">
        <v>149</v>
      </c>
      <c r="B152" s="9">
        <v>610616.50115499168</v>
      </c>
      <c r="C152" s="9">
        <v>3408.4088450083509</v>
      </c>
    </row>
    <row r="153" spans="1:3">
      <c r="A153" s="9">
        <v>150</v>
      </c>
      <c r="B153" s="9">
        <v>706552.62536170101</v>
      </c>
      <c r="C153" s="9">
        <v>6315.7246382989688</v>
      </c>
    </row>
    <row r="154" spans="1:3">
      <c r="A154" s="9">
        <v>151</v>
      </c>
      <c r="B154" s="9">
        <v>686519.28475196438</v>
      </c>
      <c r="C154" s="9">
        <v>10224.86524803564</v>
      </c>
    </row>
    <row r="155" spans="1:3">
      <c r="A155" s="9">
        <v>152</v>
      </c>
      <c r="B155" s="9">
        <v>716481.13575422356</v>
      </c>
      <c r="C155" s="9">
        <v>9366.854245776427</v>
      </c>
    </row>
    <row r="156" spans="1:3">
      <c r="A156" s="9">
        <v>153</v>
      </c>
      <c r="B156" s="9">
        <v>805209.01897738443</v>
      </c>
      <c r="C156" s="9">
        <v>-20180.768977384432</v>
      </c>
    </row>
    <row r="157" spans="1:3">
      <c r="A157" s="9">
        <v>154</v>
      </c>
      <c r="B157" s="9">
        <v>692006.02566439088</v>
      </c>
      <c r="C157" s="9">
        <v>6486.6443356091622</v>
      </c>
    </row>
    <row r="158" spans="1:3">
      <c r="A158" s="9">
        <v>155</v>
      </c>
      <c r="B158" s="9">
        <v>718572.31579063798</v>
      </c>
      <c r="C158" s="9">
        <v>-32742.075790637988</v>
      </c>
    </row>
    <row r="159" spans="1:3">
      <c r="A159" s="9">
        <v>156</v>
      </c>
      <c r="B159" s="9">
        <v>712274.35294410377</v>
      </c>
      <c r="C159" s="9">
        <v>-9955.412944103824</v>
      </c>
    </row>
    <row r="160" spans="1:3">
      <c r="A160" s="9">
        <v>157</v>
      </c>
      <c r="B160" s="9">
        <v>728553.93021151051</v>
      </c>
      <c r="C160" s="9">
        <v>-28475.61021151056</v>
      </c>
    </row>
    <row r="161" spans="1:3">
      <c r="A161" s="9">
        <v>158</v>
      </c>
      <c r="B161" s="9">
        <v>606990.79857337975</v>
      </c>
      <c r="C161" s="9">
        <v>-4988.4785733798053</v>
      </c>
    </row>
    <row r="162" spans="1:3">
      <c r="A162" s="9">
        <v>159</v>
      </c>
      <c r="B162" s="9">
        <v>670677.69027923059</v>
      </c>
      <c r="C162" s="9">
        <v>53538.379720769357</v>
      </c>
    </row>
    <row r="163" spans="1:3">
      <c r="A163" s="9">
        <v>160</v>
      </c>
      <c r="B163" s="9">
        <v>560457.90373406152</v>
      </c>
      <c r="C163" s="9">
        <v>60515.12626593851</v>
      </c>
    </row>
    <row r="164" spans="1:3">
      <c r="A164" s="9">
        <v>161</v>
      </c>
      <c r="B164" s="9">
        <v>697860.47892267839</v>
      </c>
      <c r="C164" s="9">
        <v>-47380.418922678335</v>
      </c>
    </row>
    <row r="165" spans="1:3">
      <c r="A165" s="9">
        <v>162</v>
      </c>
      <c r="B165" s="9">
        <v>717727.26482499961</v>
      </c>
      <c r="C165" s="9">
        <v>60571.615175000392</v>
      </c>
    </row>
    <row r="166" spans="1:3">
      <c r="A166" s="9">
        <v>163</v>
      </c>
      <c r="B166" s="9">
        <v>686859.36407399212</v>
      </c>
      <c r="C166" s="9">
        <v>-9762.654073992162</v>
      </c>
    </row>
    <row r="167" spans="1:3">
      <c r="A167" s="9">
        <v>164</v>
      </c>
      <c r="B167" s="9">
        <v>732211.79924035142</v>
      </c>
      <c r="C167" s="9">
        <v>-40203.159240351408</v>
      </c>
    </row>
    <row r="168" spans="1:3">
      <c r="A168" s="9">
        <v>165</v>
      </c>
      <c r="B168" s="9">
        <v>780999.37131494656</v>
      </c>
      <c r="C168" s="9">
        <v>44798.538685053471</v>
      </c>
    </row>
    <row r="169" spans="1:3">
      <c r="A169" s="9">
        <v>166</v>
      </c>
      <c r="B169" s="9">
        <v>723270.85751660715</v>
      </c>
      <c r="C169" s="9">
        <v>-16985.337516607135</v>
      </c>
    </row>
    <row r="170" spans="1:3">
      <c r="A170" s="9">
        <v>167</v>
      </c>
      <c r="B170" s="9">
        <v>677714.68496093061</v>
      </c>
      <c r="C170" s="9">
        <v>-12179.984960930655</v>
      </c>
    </row>
    <row r="171" spans="1:3">
      <c r="A171" s="9">
        <v>168</v>
      </c>
      <c r="B171" s="9">
        <v>810291.62580427306</v>
      </c>
      <c r="C171" s="9">
        <v>10437.664195726975</v>
      </c>
    </row>
    <row r="172" spans="1:3">
      <c r="A172" s="9">
        <v>169</v>
      </c>
      <c r="B172" s="9">
        <v>740023.50952001312</v>
      </c>
      <c r="C172" s="9">
        <v>-191.77952001313679</v>
      </c>
    </row>
    <row r="173" spans="1:3">
      <c r="A173" s="9">
        <v>170</v>
      </c>
      <c r="B173" s="9">
        <v>645188.36405767838</v>
      </c>
      <c r="C173" s="9">
        <v>-51551.224057678366</v>
      </c>
    </row>
    <row r="174" spans="1:3">
      <c r="A174" s="9">
        <v>171</v>
      </c>
      <c r="B174" s="9">
        <v>709130.47522958193</v>
      </c>
      <c r="C174" s="9">
        <v>60572.284770418075</v>
      </c>
    </row>
    <row r="175" spans="1:3">
      <c r="A175" s="9">
        <v>172</v>
      </c>
      <c r="B175" s="9">
        <v>683094.24592689774</v>
      </c>
      <c r="C175" s="9">
        <v>-3362.6759268977912</v>
      </c>
    </row>
    <row r="176" spans="1:3">
      <c r="A176" s="9">
        <v>173</v>
      </c>
      <c r="B176" s="9">
        <v>731363.40453993878</v>
      </c>
      <c r="C176" s="9">
        <v>48980.775460061268</v>
      </c>
    </row>
    <row r="177" spans="1:3">
      <c r="A177" s="9">
        <v>174</v>
      </c>
      <c r="B177" s="9">
        <v>730212.85160165105</v>
      </c>
      <c r="C177" s="9">
        <v>-8848.7416016510688</v>
      </c>
    </row>
    <row r="178" spans="1:3">
      <c r="A178" s="9">
        <v>175</v>
      </c>
      <c r="B178" s="9">
        <v>728103.40088318021</v>
      </c>
      <c r="C178" s="9">
        <v>30034.889116819832</v>
      </c>
    </row>
    <row r="179" spans="1:3">
      <c r="A179" s="9">
        <v>176</v>
      </c>
      <c r="B179" s="9">
        <v>793291.7457608853</v>
      </c>
      <c r="C179" s="9">
        <v>10972.2542391147</v>
      </c>
    </row>
    <row r="180" spans="1:3">
      <c r="A180" s="9">
        <v>177</v>
      </c>
      <c r="B180" s="9">
        <v>896893.93389224308</v>
      </c>
      <c r="C180" s="9">
        <v>-9356.1838922430761</v>
      </c>
    </row>
    <row r="181" spans="1:3">
      <c r="A181" s="9">
        <v>178</v>
      </c>
      <c r="B181" s="9">
        <v>731577.96954847104</v>
      </c>
      <c r="C181" s="9">
        <v>52004.030451528961</v>
      </c>
    </row>
    <row r="182" spans="1:3">
      <c r="A182" s="9">
        <v>179</v>
      </c>
      <c r="B182" s="9">
        <v>790582.03789206338</v>
      </c>
      <c r="C182" s="9">
        <v>-8626.5178920633625</v>
      </c>
    </row>
    <row r="183" spans="1:3">
      <c r="A183" s="9">
        <v>180</v>
      </c>
      <c r="B183" s="9">
        <v>841846.52512252436</v>
      </c>
      <c r="C183" s="9">
        <v>56184.514877475682</v>
      </c>
    </row>
    <row r="184" spans="1:3">
      <c r="A184" s="9">
        <v>181</v>
      </c>
      <c r="B184" s="9">
        <v>858391.83222054539</v>
      </c>
      <c r="C184" s="9">
        <v>-3050.5522205453599</v>
      </c>
    </row>
    <row r="185" spans="1:3">
      <c r="A185" s="9">
        <v>182</v>
      </c>
      <c r="B185" s="9">
        <v>710955.4399400024</v>
      </c>
      <c r="C185" s="9">
        <v>40438.440059997607</v>
      </c>
    </row>
    <row r="186" spans="1:3">
      <c r="A186" s="9">
        <v>183</v>
      </c>
      <c r="B186" s="9">
        <v>785246.70010787807</v>
      </c>
      <c r="C186" s="9">
        <v>-24169.620107878116</v>
      </c>
    </row>
    <row r="187" spans="1:3">
      <c r="A187" s="9">
        <v>184</v>
      </c>
      <c r="B187" s="9">
        <v>816193.24983846501</v>
      </c>
      <c r="C187" s="9">
        <v>3467.3401615349576</v>
      </c>
    </row>
    <row r="188" spans="1:3">
      <c r="A188" s="9">
        <v>185</v>
      </c>
      <c r="B188" s="9">
        <v>701805.45424706978</v>
      </c>
      <c r="C188" s="9">
        <v>-19949.894247069722</v>
      </c>
    </row>
    <row r="189" spans="1:3">
      <c r="A189" s="9">
        <v>186</v>
      </c>
      <c r="B189" s="9">
        <v>648813.66827460402</v>
      </c>
      <c r="C189" s="9">
        <v>29497.501725396025</v>
      </c>
    </row>
    <row r="190" spans="1:3">
      <c r="A190" s="9">
        <v>187</v>
      </c>
      <c r="B190" s="9">
        <v>724884.72590495367</v>
      </c>
      <c r="C190" s="9">
        <v>41022.224095046287</v>
      </c>
    </row>
    <row r="191" spans="1:3">
      <c r="A191" s="9">
        <v>188</v>
      </c>
      <c r="B191" s="9">
        <v>678109.84366438864</v>
      </c>
      <c r="C191" s="9">
        <v>34436.536335611367</v>
      </c>
    </row>
    <row r="192" spans="1:3">
      <c r="A192" s="9">
        <v>189</v>
      </c>
      <c r="B192" s="9">
        <v>572152.27613237302</v>
      </c>
      <c r="C192" s="9">
        <v>53841.553867626935</v>
      </c>
    </row>
    <row r="193" spans="1:3">
      <c r="A193" s="9">
        <v>190</v>
      </c>
      <c r="B193" s="9">
        <v>545533.33376248437</v>
      </c>
      <c r="C193" s="9">
        <v>5429.5962375156814</v>
      </c>
    </row>
    <row r="194" spans="1:3">
      <c r="A194" s="9">
        <v>191</v>
      </c>
      <c r="B194" s="9">
        <v>451729.0274415306</v>
      </c>
      <c r="C194" s="9">
        <v>-8453.4374415305792</v>
      </c>
    </row>
    <row r="195" spans="1:3">
      <c r="A195" s="9">
        <v>192</v>
      </c>
      <c r="B195" s="9">
        <v>613271.16202135768</v>
      </c>
      <c r="C195" s="9">
        <v>-59259.092021357734</v>
      </c>
    </row>
    <row r="196" spans="1:3">
      <c r="A196" s="9">
        <v>193</v>
      </c>
      <c r="B196" s="9">
        <v>684409.95743781445</v>
      </c>
      <c r="C196" s="9">
        <v>-40981.107437814469</v>
      </c>
    </row>
    <row r="197" spans="1:3">
      <c r="A197" s="9">
        <v>194</v>
      </c>
      <c r="B197" s="9">
        <v>611139.41750170884</v>
      </c>
      <c r="C197" s="9">
        <v>784.85249829117674</v>
      </c>
    </row>
    <row r="198" spans="1:3">
      <c r="A198" s="9">
        <v>195</v>
      </c>
      <c r="B198" s="9">
        <v>563400.926922129</v>
      </c>
      <c r="C198" s="9">
        <v>-3978.9069221289828</v>
      </c>
    </row>
    <row r="199" spans="1:3">
      <c r="A199" s="9">
        <v>196</v>
      </c>
      <c r="B199" s="9">
        <v>482073.76581771037</v>
      </c>
      <c r="C199" s="9">
        <v>-32608.705817710375</v>
      </c>
    </row>
    <row r="200" spans="1:3">
      <c r="A200" s="9">
        <v>197</v>
      </c>
      <c r="B200" s="9">
        <v>635176.80042696476</v>
      </c>
      <c r="C200" s="9">
        <v>56270.629573035287</v>
      </c>
    </row>
    <row r="201" spans="1:3">
      <c r="A201" s="9">
        <v>198</v>
      </c>
      <c r="B201" s="9">
        <v>578729.75023455953</v>
      </c>
      <c r="C201" s="9">
        <v>-4663.1402345595416</v>
      </c>
    </row>
    <row r="202" spans="1:3">
      <c r="A202" s="9">
        <v>199</v>
      </c>
      <c r="B202" s="9">
        <v>613029.18845906062</v>
      </c>
      <c r="C202" s="9">
        <v>-34079.348459060653</v>
      </c>
    </row>
    <row r="203" spans="1:3">
      <c r="A203" s="9">
        <v>200</v>
      </c>
      <c r="B203" s="9">
        <v>663180.7923780547</v>
      </c>
      <c r="C203" s="9">
        <v>72605.847621945315</v>
      </c>
    </row>
    <row r="204" spans="1:3">
      <c r="A204" s="9">
        <v>201</v>
      </c>
      <c r="B204" s="9">
        <v>645815.59549019032</v>
      </c>
      <c r="C204" s="9">
        <v>-46910.695490190294</v>
      </c>
    </row>
    <row r="205" spans="1:3">
      <c r="A205" s="22">
        <v>202</v>
      </c>
      <c r="B205" s="22">
        <v>701506.21976359503</v>
      </c>
      <c r="C205" s="22">
        <v>86209.290236404981</v>
      </c>
    </row>
    <row r="206" spans="1:3">
      <c r="A206" s="9">
        <v>203</v>
      </c>
      <c r="B206" s="9">
        <v>661406.46041172976</v>
      </c>
      <c r="C206" s="9">
        <v>-54321.540411729715</v>
      </c>
    </row>
    <row r="207" spans="1:3">
      <c r="A207" s="9">
        <v>204</v>
      </c>
      <c r="B207" s="9">
        <v>694703.52433929103</v>
      </c>
      <c r="C207" s="9">
        <v>-43908.034339291044</v>
      </c>
    </row>
    <row r="208" spans="1:3">
      <c r="A208" s="9">
        <v>205</v>
      </c>
      <c r="B208" s="9">
        <v>858279.19748034282</v>
      </c>
      <c r="C208" s="9">
        <v>-33218.677480342798</v>
      </c>
    </row>
    <row r="209" spans="1:3">
      <c r="A209" s="9">
        <v>206</v>
      </c>
      <c r="B209" s="9">
        <v>748815.24145022791</v>
      </c>
      <c r="C209" s="9">
        <v>46649.228549772059</v>
      </c>
    </row>
    <row r="210" spans="1:3">
      <c r="A210" s="9">
        <v>207</v>
      </c>
      <c r="B210" s="9">
        <v>722565.1472056947</v>
      </c>
      <c r="C210" s="9">
        <v>-50696.557205694728</v>
      </c>
    </row>
    <row r="211" spans="1:3">
      <c r="A211" s="9">
        <v>208</v>
      </c>
      <c r="B211" s="9">
        <v>751639.48457112571</v>
      </c>
      <c r="C211" s="9">
        <v>-75721.854571125703</v>
      </c>
    </row>
    <row r="212" spans="1:3">
      <c r="A212" s="9">
        <v>209</v>
      </c>
      <c r="B212" s="9">
        <v>810235.93756091536</v>
      </c>
      <c r="C212" s="9">
        <v>210.59243908466306</v>
      </c>
    </row>
    <row r="213" spans="1:3">
      <c r="A213" s="9">
        <v>210</v>
      </c>
      <c r="B213" s="9">
        <v>739882.92074595566</v>
      </c>
      <c r="C213" s="9">
        <v>-48594.73074595572</v>
      </c>
    </row>
    <row r="214" spans="1:3">
      <c r="A214" s="9">
        <v>211</v>
      </c>
      <c r="B214" s="9">
        <v>980974.79236171721</v>
      </c>
      <c r="C214" s="9">
        <v>-34141.252361717168</v>
      </c>
    </row>
    <row r="215" spans="1:3">
      <c r="A215" s="9">
        <v>212</v>
      </c>
      <c r="B215" s="9">
        <v>733548.61417905299</v>
      </c>
      <c r="C215" s="9">
        <v>28414.615820946987</v>
      </c>
    </row>
    <row r="216" spans="1:3">
      <c r="A216" s="9">
        <v>213</v>
      </c>
      <c r="B216" s="9">
        <v>791154.40107623825</v>
      </c>
      <c r="C216" s="9">
        <v>20998.198923761724</v>
      </c>
    </row>
    <row r="217" spans="1:3">
      <c r="A217" s="9">
        <v>214</v>
      </c>
      <c r="B217" s="9">
        <v>764404.79208448157</v>
      </c>
      <c r="C217" s="9">
        <v>40570.707915518433</v>
      </c>
    </row>
    <row r="218" spans="1:3">
      <c r="A218" s="9">
        <v>215</v>
      </c>
      <c r="B218" s="9">
        <v>769094.88293151127</v>
      </c>
      <c r="C218" s="9">
        <v>-16773.162931511295</v>
      </c>
    </row>
    <row r="219" spans="1:3">
      <c r="A219" s="9">
        <v>216</v>
      </c>
      <c r="B219" s="9">
        <v>836430.98203506705</v>
      </c>
      <c r="C219" s="9">
        <v>477.25796493294183</v>
      </c>
    </row>
    <row r="220" spans="1:3">
      <c r="A220" s="9">
        <v>217</v>
      </c>
      <c r="B220" s="9">
        <v>648176.93977374083</v>
      </c>
      <c r="C220" s="9">
        <v>26112.160226259148</v>
      </c>
    </row>
    <row r="221" spans="1:3">
      <c r="A221" s="9">
        <v>218</v>
      </c>
      <c r="B221" s="9">
        <v>625978.69821673003</v>
      </c>
      <c r="C221" s="9">
        <v>-3086.2782167299883</v>
      </c>
    </row>
    <row r="222" spans="1:3">
      <c r="A222" s="9">
        <v>219</v>
      </c>
      <c r="B222" s="9">
        <v>646625.69782566361</v>
      </c>
      <c r="C222" s="9">
        <v>26722.862174336449</v>
      </c>
    </row>
    <row r="223" spans="1:3">
      <c r="A223" s="9">
        <v>220</v>
      </c>
      <c r="B223" s="9">
        <v>608947.62985163322</v>
      </c>
      <c r="C223" s="9">
        <v>-2669.3298516331706</v>
      </c>
    </row>
    <row r="224" spans="1:3">
      <c r="A224" s="9">
        <v>221</v>
      </c>
      <c r="B224" s="9">
        <v>701178.77737958881</v>
      </c>
      <c r="C224" s="9">
        <v>11041.03262041125</v>
      </c>
    </row>
    <row r="225" spans="1:3">
      <c r="A225" s="9">
        <v>222</v>
      </c>
      <c r="B225" s="9">
        <v>671235.53077903797</v>
      </c>
      <c r="C225" s="9">
        <v>1435.0092209620634</v>
      </c>
    </row>
    <row r="226" spans="1:3">
      <c r="A226" s="9">
        <v>223</v>
      </c>
      <c r="B226" s="9">
        <v>722747.02281351865</v>
      </c>
      <c r="C226" s="9">
        <v>9920.8971864813939</v>
      </c>
    </row>
    <row r="227" spans="1:3">
      <c r="A227" s="9">
        <v>224</v>
      </c>
      <c r="B227" s="9">
        <v>743380.80418021849</v>
      </c>
      <c r="C227" s="9">
        <v>-19849.404180218466</v>
      </c>
    </row>
    <row r="228" spans="1:3">
      <c r="A228" s="9">
        <v>225</v>
      </c>
      <c r="B228" s="9">
        <v>621807.33938017953</v>
      </c>
      <c r="C228" s="9">
        <v>19757.260619820445</v>
      </c>
    </row>
    <row r="229" spans="1:3">
      <c r="A229" s="9">
        <v>226</v>
      </c>
      <c r="B229" s="9">
        <v>519027.21192483557</v>
      </c>
      <c r="C229" s="9">
        <v>17518.278075164417</v>
      </c>
    </row>
    <row r="230" spans="1:3">
      <c r="A230" s="9">
        <v>227</v>
      </c>
      <c r="B230" s="9">
        <v>509697.80146416259</v>
      </c>
      <c r="C230" s="9">
        <v>17983.758535837464</v>
      </c>
    </row>
    <row r="231" spans="1:3">
      <c r="A231" s="9">
        <v>228</v>
      </c>
      <c r="B231" s="9">
        <v>494735.70066441904</v>
      </c>
      <c r="C231" s="9">
        <v>34863.239335580904</v>
      </c>
    </row>
    <row r="232" spans="1:3">
      <c r="A232" s="9">
        <v>229</v>
      </c>
      <c r="B232" s="9">
        <v>618320.67126456206</v>
      </c>
      <c r="C232" s="9">
        <v>-47357.361264562001</v>
      </c>
    </row>
    <row r="233" spans="1:3">
      <c r="A233" s="22">
        <v>230</v>
      </c>
      <c r="B233" s="22">
        <v>759989.64205425023</v>
      </c>
      <c r="C233" s="22">
        <v>110947.75794574979</v>
      </c>
    </row>
    <row r="234" spans="1:3">
      <c r="A234" s="9">
        <v>231</v>
      </c>
      <c r="B234" s="9">
        <v>625283.2165271088</v>
      </c>
      <c r="C234" s="9">
        <v>-28313.946527108783</v>
      </c>
    </row>
    <row r="235" spans="1:3">
      <c r="A235" s="9">
        <v>232</v>
      </c>
      <c r="B235" s="9">
        <v>607663.09202392108</v>
      </c>
      <c r="C235" s="9">
        <v>39849.757976078894</v>
      </c>
    </row>
    <row r="236" spans="1:3">
      <c r="A236" s="9">
        <v>233</v>
      </c>
      <c r="B236" s="9">
        <v>626135.58689304499</v>
      </c>
      <c r="C236" s="9">
        <v>31936.55310695502</v>
      </c>
    </row>
    <row r="237" spans="1:3">
      <c r="A237" s="9">
        <v>234</v>
      </c>
      <c r="B237" s="9">
        <v>657297.49623481405</v>
      </c>
      <c r="C237" s="9">
        <v>66007.613765185932</v>
      </c>
    </row>
    <row r="238" spans="1:3">
      <c r="A238" s="9">
        <v>235</v>
      </c>
      <c r="B238" s="9">
        <v>646554.69833850313</v>
      </c>
      <c r="C238" s="9">
        <v>-5888.1683385031065</v>
      </c>
    </row>
    <row r="239" spans="1:3">
      <c r="A239" s="9">
        <v>236</v>
      </c>
      <c r="B239" s="9">
        <v>671556.36837104941</v>
      </c>
      <c r="C239" s="9">
        <v>-926.8883710494265</v>
      </c>
    </row>
    <row r="240" spans="1:3">
      <c r="A240" s="23">
        <v>237</v>
      </c>
      <c r="B240" s="23">
        <v>807986.94502266881</v>
      </c>
      <c r="C240" s="23">
        <v>-86907.595022668829</v>
      </c>
    </row>
    <row r="241" spans="1:3">
      <c r="A241" s="9">
        <v>238</v>
      </c>
      <c r="B241" s="9">
        <v>795556.51047351246</v>
      </c>
      <c r="C241" s="9">
        <v>14798.509526487556</v>
      </c>
    </row>
    <row r="242" spans="1:3">
      <c r="A242" s="9">
        <v>239</v>
      </c>
      <c r="B242" s="9">
        <v>772585.89352640824</v>
      </c>
      <c r="C242" s="9">
        <v>-10666.643526408239</v>
      </c>
    </row>
    <row r="243" spans="1:3">
      <c r="A243" s="9">
        <v>240</v>
      </c>
      <c r="B243" s="9">
        <v>733740.60981568811</v>
      </c>
      <c r="C243" s="9">
        <v>3329.5701843119459</v>
      </c>
    </row>
    <row r="244" spans="1:3">
      <c r="A244" s="9">
        <v>241</v>
      </c>
      <c r="B244" s="9">
        <v>754541.55028144282</v>
      </c>
      <c r="C244" s="9">
        <v>22451.379718557233</v>
      </c>
    </row>
    <row r="245" spans="1:3">
      <c r="A245" s="9">
        <v>242</v>
      </c>
      <c r="B245" s="9">
        <v>661844.07427329919</v>
      </c>
      <c r="C245" s="9">
        <v>14493.33572670084</v>
      </c>
    </row>
    <row r="246" spans="1:3">
      <c r="A246" s="9">
        <v>243</v>
      </c>
      <c r="B246" s="9">
        <v>843476.2000660717</v>
      </c>
      <c r="C246" s="9">
        <v>-15256.53006607166</v>
      </c>
    </row>
    <row r="247" spans="1:3">
      <c r="A247" s="9">
        <v>244</v>
      </c>
      <c r="B247" s="9">
        <v>783912.13751490123</v>
      </c>
      <c r="C247" s="9">
        <v>-20752.217514901189</v>
      </c>
    </row>
    <row r="248" spans="1:3">
      <c r="A248" s="9">
        <v>245</v>
      </c>
      <c r="B248" s="9">
        <v>781244.45130700583</v>
      </c>
      <c r="C248" s="9">
        <v>20757.22869299422</v>
      </c>
    </row>
    <row r="249" spans="1:3">
      <c r="A249" s="9">
        <v>246</v>
      </c>
      <c r="B249" s="9">
        <v>743911.85552196915</v>
      </c>
      <c r="C249" s="9">
        <v>6559.4844780308194</v>
      </c>
    </row>
    <row r="250" spans="1:3">
      <c r="A250" s="9">
        <v>247</v>
      </c>
      <c r="B250" s="9">
        <v>717040.7950462061</v>
      </c>
      <c r="C250" s="9">
        <v>-37809.935046206112</v>
      </c>
    </row>
    <row r="251" spans="1:3">
      <c r="A251" s="9">
        <v>248</v>
      </c>
      <c r="B251" s="9">
        <v>682866.54288954439</v>
      </c>
      <c r="C251" s="9">
        <v>-2977.8028895444004</v>
      </c>
    </row>
    <row r="252" spans="1:3">
      <c r="A252" s="9">
        <v>249</v>
      </c>
      <c r="B252" s="9">
        <v>586397.53435976978</v>
      </c>
      <c r="C252" s="9">
        <v>20386.135640230263</v>
      </c>
    </row>
    <row r="253" spans="1:3">
      <c r="A253" s="9">
        <v>250</v>
      </c>
      <c r="B253" s="9">
        <v>654187.56706699694</v>
      </c>
      <c r="C253" s="9">
        <v>-11436.147066996899</v>
      </c>
    </row>
    <row r="254" spans="1:3">
      <c r="A254" s="9">
        <v>251</v>
      </c>
      <c r="B254" s="9">
        <v>650335.06540439208</v>
      </c>
      <c r="C254" s="9">
        <v>-2381.2854043920524</v>
      </c>
    </row>
    <row r="255" spans="1:3">
      <c r="A255" s="9">
        <v>252</v>
      </c>
      <c r="B255" s="9">
        <v>710952.10982533428</v>
      </c>
      <c r="C255" s="9">
        <v>18488.340174665675</v>
      </c>
    </row>
    <row r="256" spans="1:3">
      <c r="A256" s="9">
        <v>253</v>
      </c>
      <c r="B256" s="9">
        <v>762505.60928643937</v>
      </c>
      <c r="C256" s="9">
        <v>2443.3907135606278</v>
      </c>
    </row>
    <row r="257" spans="1:3">
      <c r="A257" s="9">
        <v>254</v>
      </c>
      <c r="B257" s="9">
        <v>723556.53347659437</v>
      </c>
      <c r="C257" s="9">
        <v>75490.406523405574</v>
      </c>
    </row>
    <row r="258" spans="1:3">
      <c r="A258" s="9">
        <v>255</v>
      </c>
      <c r="B258" s="9">
        <v>707353.46400583745</v>
      </c>
      <c r="C258" s="9">
        <v>12726.075994162587</v>
      </c>
    </row>
    <row r="259" spans="1:3">
      <c r="A259" s="9">
        <v>256</v>
      </c>
      <c r="B259" s="9">
        <v>676464.97290126607</v>
      </c>
      <c r="C259" s="9">
        <v>-64074.832901266054</v>
      </c>
    </row>
    <row r="260" spans="1:3">
      <c r="A260" s="9">
        <v>257</v>
      </c>
      <c r="B260" s="9">
        <v>795787.65853317617</v>
      </c>
      <c r="C260" s="9">
        <v>44320.461466823821</v>
      </c>
    </row>
    <row r="261" spans="1:3">
      <c r="A261" s="9">
        <v>258</v>
      </c>
      <c r="B261" s="9">
        <v>700680.20963027875</v>
      </c>
      <c r="C261" s="9">
        <v>-2792.1196302787866</v>
      </c>
    </row>
    <row r="262" spans="1:3">
      <c r="A262" s="9">
        <v>259</v>
      </c>
      <c r="B262" s="9">
        <v>756152.43641546823</v>
      </c>
      <c r="C262" s="9">
        <v>-10036.846415468259</v>
      </c>
    </row>
    <row r="263" spans="1:3">
      <c r="A263" s="9">
        <v>260</v>
      </c>
      <c r="B263" s="9">
        <v>750669.78804843093</v>
      </c>
      <c r="C263" s="9">
        <v>25440.531951569021</v>
      </c>
    </row>
    <row r="264" spans="1:3">
      <c r="A264" s="9">
        <v>261</v>
      </c>
      <c r="B264" s="9">
        <v>523861.9618611731</v>
      </c>
      <c r="C264" s="9">
        <v>4990.6581388268969</v>
      </c>
    </row>
    <row r="265" spans="1:3">
      <c r="A265" s="9">
        <v>262</v>
      </c>
      <c r="B265" s="9">
        <v>617276.64021576371</v>
      </c>
      <c r="C265" s="9">
        <v>-11525.310215763748</v>
      </c>
    </row>
    <row r="266" spans="1:3">
      <c r="A266" s="9">
        <v>263</v>
      </c>
      <c r="B266" s="9">
        <v>618682.79665655096</v>
      </c>
      <c r="C266" s="9">
        <v>58957.853343449067</v>
      </c>
    </row>
    <row r="267" spans="1:3">
      <c r="A267" s="9">
        <v>264</v>
      </c>
      <c r="B267" s="9">
        <v>594289.97154367249</v>
      </c>
      <c r="C267" s="9">
        <v>42323.258456327487</v>
      </c>
    </row>
    <row r="268" spans="1:3">
      <c r="A268" s="9">
        <v>265</v>
      </c>
      <c r="B268" s="9">
        <v>717569.9182977468</v>
      </c>
      <c r="C268" s="9">
        <v>-8584.7282977468567</v>
      </c>
    </row>
    <row r="269" spans="1:3">
      <c r="A269" s="9">
        <v>266</v>
      </c>
      <c r="B269" s="9">
        <v>738592.88765114767</v>
      </c>
      <c r="C269" s="9">
        <v>29200.052348852274</v>
      </c>
    </row>
    <row r="270" spans="1:3">
      <c r="A270" s="9">
        <v>267</v>
      </c>
      <c r="B270" s="9">
        <v>723796.56146790774</v>
      </c>
      <c r="C270" s="9">
        <v>21783.948532092269</v>
      </c>
    </row>
    <row r="271" spans="1:3">
      <c r="A271" s="9">
        <v>268</v>
      </c>
      <c r="B271" s="9">
        <v>720490.80767992663</v>
      </c>
      <c r="C271" s="9">
        <v>41837.502320073429</v>
      </c>
    </row>
    <row r="272" spans="1:3">
      <c r="A272" s="9">
        <v>269</v>
      </c>
      <c r="B272" s="9">
        <v>738664.53470944182</v>
      </c>
      <c r="C272" s="9">
        <v>-78030.544709441834</v>
      </c>
    </row>
    <row r="273" spans="1:3">
      <c r="A273" s="9">
        <v>270</v>
      </c>
      <c r="B273" s="9">
        <v>702571.91864707833</v>
      </c>
      <c r="C273" s="9">
        <v>36802.641352921724</v>
      </c>
    </row>
    <row r="274" spans="1:3">
      <c r="A274" s="9">
        <v>271</v>
      </c>
      <c r="B274" s="9">
        <v>812009.6973137249</v>
      </c>
      <c r="C274" s="9">
        <v>-12253.237313724938</v>
      </c>
    </row>
    <row r="275" spans="1:3">
      <c r="A275" s="9">
        <v>272</v>
      </c>
      <c r="B275" s="9">
        <v>664747.66298182623</v>
      </c>
      <c r="C275" s="9">
        <v>-71404.66298182623</v>
      </c>
    </row>
    <row r="276" spans="1:3">
      <c r="A276" s="9">
        <v>273</v>
      </c>
      <c r="B276" s="9">
        <v>643238.28517333197</v>
      </c>
      <c r="C276" s="9">
        <v>1801.6848266680026</v>
      </c>
    </row>
    <row r="277" spans="1:3">
      <c r="A277" s="9">
        <v>274</v>
      </c>
      <c r="B277" s="9">
        <v>547044.76258913905</v>
      </c>
      <c r="C277" s="9">
        <v>14552.567410860909</v>
      </c>
    </row>
    <row r="278" spans="1:3">
      <c r="A278" s="9">
        <v>275</v>
      </c>
      <c r="B278" s="9">
        <v>663933.66659780627</v>
      </c>
      <c r="C278" s="9">
        <v>-28095.926597806276</v>
      </c>
    </row>
    <row r="279" spans="1:3">
      <c r="A279" s="9">
        <v>276</v>
      </c>
      <c r="B279" s="9">
        <v>612805.1739437941</v>
      </c>
      <c r="C279" s="9">
        <v>73932.696056205896</v>
      </c>
    </row>
    <row r="280" spans="1:3">
      <c r="A280" s="9">
        <v>277</v>
      </c>
      <c r="B280" s="9">
        <v>688721.6918603353</v>
      </c>
      <c r="C280" s="9">
        <v>-15645.35186033533</v>
      </c>
    </row>
    <row r="281" spans="1:3">
      <c r="A281" s="9">
        <v>278</v>
      </c>
      <c r="B281" s="9">
        <v>702643.29646579653</v>
      </c>
      <c r="C281" s="9">
        <v>35905.123534203507</v>
      </c>
    </row>
    <row r="282" spans="1:3">
      <c r="A282" s="9">
        <v>279</v>
      </c>
      <c r="B282" s="9">
        <v>739501.07514190592</v>
      </c>
      <c r="C282" s="9">
        <v>17118.694858094095</v>
      </c>
    </row>
    <row r="283" spans="1:3">
      <c r="A283" s="9">
        <v>280</v>
      </c>
      <c r="B283" s="9">
        <v>777412.421626942</v>
      </c>
      <c r="C283" s="9">
        <v>-16290.001626941958</v>
      </c>
    </row>
    <row r="284" spans="1:3">
      <c r="A284" s="9">
        <v>281</v>
      </c>
      <c r="B284" s="9">
        <v>593338.90950866684</v>
      </c>
      <c r="C284" s="9">
        <v>-68439.33950866689</v>
      </c>
    </row>
    <row r="285" spans="1:3">
      <c r="A285" s="9">
        <v>282</v>
      </c>
      <c r="B285" s="9">
        <v>603210.21939629095</v>
      </c>
      <c r="C285" s="9">
        <v>-47652.449396290933</v>
      </c>
    </row>
    <row r="286" spans="1:3">
      <c r="A286" s="9">
        <v>283</v>
      </c>
      <c r="B286" s="9">
        <v>709356.80171530019</v>
      </c>
      <c r="C286" s="9">
        <v>4726.8782846998656</v>
      </c>
    </row>
    <row r="287" spans="1:3">
      <c r="A287" s="9">
        <v>284</v>
      </c>
      <c r="B287" s="9">
        <v>499943.46595716756</v>
      </c>
      <c r="C287" s="9">
        <v>-2503.6459571675514</v>
      </c>
    </row>
    <row r="288" spans="1:3">
      <c r="A288" s="9">
        <v>285</v>
      </c>
      <c r="B288" s="9">
        <v>672075.42595932959</v>
      </c>
      <c r="C288" s="9">
        <v>-35299.765959329554</v>
      </c>
    </row>
    <row r="289" spans="1:3">
      <c r="A289" s="9">
        <v>286</v>
      </c>
      <c r="B289" s="9">
        <v>640238.08209443395</v>
      </c>
      <c r="C289" s="9">
        <v>-7228.5520944339223</v>
      </c>
    </row>
    <row r="290" spans="1:3">
      <c r="A290" s="9">
        <v>287</v>
      </c>
      <c r="B290" s="9">
        <v>627486.29273184505</v>
      </c>
      <c r="C290" s="9">
        <v>-17537.292731845053</v>
      </c>
    </row>
    <row r="291" spans="1:3">
      <c r="A291" s="9">
        <v>288</v>
      </c>
      <c r="B291" s="9">
        <v>574584.21055541025</v>
      </c>
      <c r="C291" s="9">
        <v>-26480.510555410292</v>
      </c>
    </row>
    <row r="292" spans="1:3">
      <c r="A292" s="9">
        <v>289</v>
      </c>
      <c r="B292" s="9">
        <v>685720.47191399196</v>
      </c>
      <c r="C292" s="9">
        <v>43703.94808600808</v>
      </c>
    </row>
    <row r="293" spans="1:3">
      <c r="A293" s="9">
        <v>290</v>
      </c>
      <c r="B293" s="9">
        <v>725008.2545083994</v>
      </c>
      <c r="C293" s="9">
        <v>-28746.764508399414</v>
      </c>
    </row>
    <row r="294" spans="1:3">
      <c r="A294" s="22">
        <v>291</v>
      </c>
      <c r="B294" s="22">
        <v>721410.7256445206</v>
      </c>
      <c r="C294" s="22">
        <v>91905.984355479362</v>
      </c>
    </row>
    <row r="295" spans="1:3">
      <c r="A295" s="9">
        <v>292</v>
      </c>
      <c r="B295" s="9">
        <v>683285.27181038004</v>
      </c>
      <c r="C295" s="9">
        <v>18783.648189619998</v>
      </c>
    </row>
    <row r="296" spans="1:3">
      <c r="A296" s="9">
        <v>293</v>
      </c>
      <c r="B296" s="9">
        <v>580076.92762319185</v>
      </c>
      <c r="C296" s="9">
        <v>-33853.227623191895</v>
      </c>
    </row>
    <row r="297" spans="1:3">
      <c r="A297" s="9">
        <v>294</v>
      </c>
      <c r="B297" s="9">
        <v>545514.89956287364</v>
      </c>
      <c r="C297" s="9">
        <v>-12393.639562873635</v>
      </c>
    </row>
    <row r="298" spans="1:3">
      <c r="A298" s="9">
        <v>295</v>
      </c>
      <c r="B298" s="9">
        <v>507250.46821302833</v>
      </c>
      <c r="C298" s="9">
        <v>-8280.1482130283257</v>
      </c>
    </row>
    <row r="299" spans="1:3">
      <c r="A299" s="9">
        <v>296</v>
      </c>
      <c r="B299" s="9">
        <v>495070.11182423594</v>
      </c>
      <c r="C299" s="9">
        <v>-7331.8518242359278</v>
      </c>
    </row>
    <row r="300" spans="1:3">
      <c r="A300" s="9">
        <v>297</v>
      </c>
      <c r="B300" s="9">
        <v>661445.16287357465</v>
      </c>
      <c r="C300" s="9">
        <v>7014.2071264253464</v>
      </c>
    </row>
    <row r="301" spans="1:3">
      <c r="A301" s="9">
        <v>298</v>
      </c>
      <c r="B301" s="9">
        <v>691525.64050580154</v>
      </c>
      <c r="C301" s="9">
        <v>71636.809494198416</v>
      </c>
    </row>
    <row r="302" spans="1:3">
      <c r="A302" s="9">
        <v>299</v>
      </c>
      <c r="B302" s="9">
        <v>617418.27656370029</v>
      </c>
      <c r="C302" s="9">
        <v>-18400.94656370033</v>
      </c>
    </row>
    <row r="303" spans="1:3">
      <c r="A303" s="9">
        <v>300</v>
      </c>
      <c r="B303" s="9">
        <v>434443.70931052411</v>
      </c>
      <c r="C303" s="9">
        <v>-32861.129310524091</v>
      </c>
    </row>
    <row r="304" spans="1:3">
      <c r="A304" s="9">
        <v>301</v>
      </c>
      <c r="B304" s="9">
        <v>749624.6083155201</v>
      </c>
      <c r="C304" s="9">
        <v>-45811.618315520114</v>
      </c>
    </row>
    <row r="305" spans="1:3">
      <c r="A305" s="9">
        <v>302</v>
      </c>
      <c r="B305" s="9">
        <v>736288.34984756622</v>
      </c>
      <c r="C305" s="9">
        <v>-11941.619847566239</v>
      </c>
    </row>
    <row r="306" spans="1:3">
      <c r="A306" s="9">
        <v>303</v>
      </c>
      <c r="B306" s="9">
        <v>761572.83094423893</v>
      </c>
      <c r="C306" s="9">
        <v>-30682.82094423892</v>
      </c>
    </row>
    <row r="307" spans="1:3">
      <c r="A307" s="9">
        <v>304</v>
      </c>
      <c r="B307" s="9">
        <v>729549.38450935471</v>
      </c>
      <c r="C307" s="9">
        <v>51031.56549064524</v>
      </c>
    </row>
    <row r="308" spans="1:3">
      <c r="A308" s="9">
        <v>305</v>
      </c>
      <c r="B308" s="9">
        <v>683462.1480122864</v>
      </c>
      <c r="C308" s="9">
        <v>44495.33198771358</v>
      </c>
    </row>
    <row r="309" spans="1:3">
      <c r="A309" s="9">
        <v>306</v>
      </c>
      <c r="B309" s="9">
        <v>590622.32245724613</v>
      </c>
      <c r="C309" s="9">
        <v>-52246.322457246133</v>
      </c>
    </row>
    <row r="310" spans="1:3">
      <c r="A310" s="9">
        <v>307</v>
      </c>
      <c r="B310" s="9">
        <v>625551.19057253818</v>
      </c>
      <c r="C310" s="9">
        <v>39791.29942746181</v>
      </c>
    </row>
    <row r="311" spans="1:3">
      <c r="A311" s="9">
        <v>308</v>
      </c>
      <c r="B311" s="9">
        <v>697872.94596567145</v>
      </c>
      <c r="C311" s="9">
        <v>-46708.765965671395</v>
      </c>
    </row>
    <row r="312" spans="1:3">
      <c r="A312" s="9">
        <v>309</v>
      </c>
      <c r="B312" s="9">
        <v>642068.57636662351</v>
      </c>
      <c r="C312" s="9">
        <v>-13530.276366623468</v>
      </c>
    </row>
    <row r="313" spans="1:3">
      <c r="A313" s="9">
        <v>310</v>
      </c>
      <c r="B313" s="9">
        <v>592469.04540358263</v>
      </c>
      <c r="C313" s="9">
        <v>-55944.205403582659</v>
      </c>
    </row>
    <row r="314" spans="1:3">
      <c r="A314" s="9">
        <v>311</v>
      </c>
      <c r="B314" s="9">
        <v>613180.3962787966</v>
      </c>
      <c r="C314" s="9">
        <v>8496.9037212034455</v>
      </c>
    </row>
    <row r="315" spans="1:3">
      <c r="A315" s="9">
        <v>312</v>
      </c>
      <c r="B315" s="9">
        <v>772827.89010987105</v>
      </c>
      <c r="C315" s="9">
        <v>-1698.8201098710997</v>
      </c>
    </row>
    <row r="316" spans="1:3">
      <c r="A316" s="9">
        <v>313</v>
      </c>
      <c r="B316" s="9">
        <v>674488.03690501081</v>
      </c>
      <c r="C316" s="9">
        <v>27564.433094989159</v>
      </c>
    </row>
    <row r="317" spans="1:3">
      <c r="A317" s="9">
        <v>314</v>
      </c>
      <c r="B317" s="9">
        <v>704729.63916352356</v>
      </c>
      <c r="C317" s="9">
        <v>-16361.1791635236</v>
      </c>
    </row>
    <row r="318" spans="1:3">
      <c r="A318" s="9">
        <v>315</v>
      </c>
      <c r="B318" s="9">
        <v>686143.34026291303</v>
      </c>
      <c r="C318" s="9">
        <v>26232.42973708699</v>
      </c>
    </row>
    <row r="319" spans="1:3">
      <c r="A319" s="9">
        <v>316</v>
      </c>
      <c r="B319" s="9">
        <v>797297.10711564461</v>
      </c>
      <c r="C319" s="9">
        <v>47413.56288435543</v>
      </c>
    </row>
    <row r="320" spans="1:3">
      <c r="A320" s="9">
        <v>317</v>
      </c>
      <c r="B320" s="9">
        <v>680089.84418707213</v>
      </c>
      <c r="C320" s="9">
        <v>-59825.644187072176</v>
      </c>
    </row>
    <row r="321" spans="1:3">
      <c r="A321" s="9">
        <v>318</v>
      </c>
      <c r="B321" s="9">
        <v>520377.29360064195</v>
      </c>
      <c r="C321" s="9">
        <v>16468.126399358094</v>
      </c>
    </row>
    <row r="322" spans="1:3">
      <c r="A322" s="9">
        <v>319</v>
      </c>
      <c r="B322" s="9">
        <v>726371.16790249222</v>
      </c>
      <c r="C322" s="9">
        <v>405.05209750775248</v>
      </c>
    </row>
    <row r="323" spans="1:3" ht="15" thickBot="1">
      <c r="A323" s="10">
        <v>320</v>
      </c>
      <c r="B323" s="10">
        <v>557671.47942546452</v>
      </c>
      <c r="C323" s="10">
        <v>1989.3605745354434</v>
      </c>
    </row>
    <row r="324" spans="1:3">
      <c r="A324" s="1"/>
      <c r="B324" s="1"/>
      <c r="C324" s="1"/>
    </row>
  </sheetData>
  <autoFilter ref="A3:C323" xr:uid="{E32011CD-CD2A-4137-8670-CBB7C2358740}">
    <sortState xmlns:xlrd2="http://schemas.microsoft.com/office/spreadsheetml/2017/richdata2" ref="A4:C323">
      <sortCondition ref="A3:A323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18BD-A43A-464E-9984-26C7AF237960}">
  <dimension ref="A1:D7"/>
  <sheetViews>
    <sheetView workbookViewId="0">
      <selection activeCell="G1" sqref="G1"/>
    </sheetView>
  </sheetViews>
  <sheetFormatPr defaultRowHeight="14.25"/>
  <cols>
    <col min="1" max="1" width="18.25" customWidth="1"/>
    <col min="2" max="3" width="26.5" customWidth="1"/>
    <col min="4" max="4" width="27.625" customWidth="1"/>
  </cols>
  <sheetData>
    <row r="1" spans="1:4">
      <c r="A1" t="s">
        <v>159</v>
      </c>
      <c r="B1" t="s">
        <v>160</v>
      </c>
      <c r="C1" t="s">
        <v>127</v>
      </c>
      <c r="D1" t="s">
        <v>161</v>
      </c>
    </row>
    <row r="2" spans="1:4">
      <c r="A2" t="s">
        <v>164</v>
      </c>
      <c r="B2" t="s">
        <v>4</v>
      </c>
      <c r="C2" t="s">
        <v>5</v>
      </c>
      <c r="D2" t="s">
        <v>165</v>
      </c>
    </row>
    <row r="3" spans="1:4">
      <c r="A3" t="s">
        <v>133</v>
      </c>
      <c r="B3" s="16">
        <f>'Simple Regression'!B4</f>
        <v>0.40895561021322352</v>
      </c>
      <c r="C3" s="16">
        <f>'Simple Regression'!B25</f>
        <v>0.85807070804410468</v>
      </c>
      <c r="D3" s="16">
        <f>'Multiple Regression'!B4</f>
        <v>0.92577345353467455</v>
      </c>
    </row>
    <row r="4" spans="1:4">
      <c r="A4" t="s">
        <v>134</v>
      </c>
      <c r="B4" s="16">
        <f>'Simple Regression'!B5</f>
        <v>0.16724469112487</v>
      </c>
      <c r="C4" s="16">
        <f>'Simple Regression'!B26</f>
        <v>0.73628534000331114</v>
      </c>
      <c r="D4" s="16">
        <f>'Multiple Regression'!B5</f>
        <v>0.85705648726951822</v>
      </c>
    </row>
    <row r="5" spans="1:4">
      <c r="A5" t="s">
        <v>135</v>
      </c>
      <c r="B5" s="16">
        <f>'Simple Regression'!B6</f>
        <v>0.16462596373847024</v>
      </c>
      <c r="C5" s="16">
        <f>'Simple Regression'!B27</f>
        <v>0.73545604861967373</v>
      </c>
      <c r="D5" s="16">
        <f>'Multiple Regression'!B6</f>
        <v>0.85049514570156171</v>
      </c>
    </row>
    <row r="6" spans="1:4">
      <c r="A6" t="s">
        <v>136</v>
      </c>
      <c r="B6" s="17">
        <f>'Simple Regression'!B7</f>
        <v>94846.03383215853</v>
      </c>
      <c r="C6" s="17">
        <f>'Simple Regression'!B28</f>
        <v>53373.736380790499</v>
      </c>
      <c r="D6" s="17">
        <f>'Multiple Regression'!B7</f>
        <v>40124.195264105423</v>
      </c>
    </row>
    <row r="7" spans="1:4">
      <c r="A7" t="s">
        <v>137</v>
      </c>
      <c r="B7">
        <f>'Simple Regression'!B8</f>
        <v>320</v>
      </c>
      <c r="C7">
        <f>'Simple Regression'!B29</f>
        <v>320</v>
      </c>
      <c r="D7">
        <f>'Multiple Regression'!B8</f>
        <v>320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25"/>
  <cols>
    <col min="1" max="2" width="28" customWidth="1"/>
  </cols>
  <sheetData>
    <row r="1" spans="1:2" ht="27.95" customHeight="1">
      <c r="A1" s="2" t="s">
        <v>102</v>
      </c>
      <c r="B1" s="2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8.5">
      <c r="A5" s="4" t="s">
        <v>3</v>
      </c>
      <c r="B5" s="4" t="s">
        <v>107</v>
      </c>
    </row>
    <row r="6" spans="1:2" ht="28.5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8.5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8.5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2.75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8.5">
      <c r="A14" s="4" t="s">
        <v>12</v>
      </c>
      <c r="B14" s="4" t="s">
        <v>116</v>
      </c>
    </row>
    <row r="15" spans="1:2" ht="28.5">
      <c r="A15" s="4" t="s">
        <v>13</v>
      </c>
      <c r="B15" s="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C67A-C267-4C15-AAA3-ABF3F303ED8F}">
  <dimension ref="A2:D8"/>
  <sheetViews>
    <sheetView workbookViewId="0"/>
  </sheetViews>
  <sheetFormatPr defaultRowHeight="14.25"/>
  <sheetData>
    <row r="2" spans="1:4">
      <c r="A2" t="s">
        <v>118</v>
      </c>
      <c r="D2">
        <f>MEDIAN('Cleaned Data'!J2:J321)</f>
        <v>3.3650000000000002</v>
      </c>
    </row>
    <row r="4" spans="1:4">
      <c r="A4" t="s">
        <v>119</v>
      </c>
    </row>
    <row r="5" spans="1:4">
      <c r="A5" t="s">
        <v>120</v>
      </c>
      <c r="C5">
        <f>AVERAGEIF('Cleaned Data'!D2:D321, "Airport", 'Cleaned Data'!L2:L321)</f>
        <v>3.7785714285714294</v>
      </c>
      <c r="D5" s="8">
        <v>3.7785714285714294</v>
      </c>
    </row>
    <row r="6" spans="1:4">
      <c r="A6" t="s">
        <v>121</v>
      </c>
      <c r="C6">
        <f>AVERAGEIF('Cleaned Data'!D2:D321, "High Street", 'Cleaned Data'!L2:L321)</f>
        <v>3.8732758620689665</v>
      </c>
      <c r="D6" s="8">
        <v>3.875221238938054</v>
      </c>
    </row>
    <row r="7" spans="1:4">
      <c r="A7" t="s">
        <v>122</v>
      </c>
      <c r="C7">
        <f>AVERAGEIF('Cleaned Data'!D2:D321, "Mall", 'Cleaned Data'!L2:L321)</f>
        <v>3.965789473684211</v>
      </c>
      <c r="D7" s="8">
        <v>3.9666666666666672</v>
      </c>
    </row>
    <row r="8" spans="1:4">
      <c r="A8" t="s">
        <v>123</v>
      </c>
      <c r="C8">
        <f>AVERAGEIF('Cleaned Data'!D2:D321, "Residential", 'Cleaned Data'!L2:L321)</f>
        <v>3.9889999999999985</v>
      </c>
      <c r="D8" s="8">
        <v>3.9927083333333315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Dummy Variables</vt:lpstr>
      <vt:lpstr>Simple Regression</vt:lpstr>
      <vt:lpstr>Multiple Regression</vt:lpstr>
      <vt:lpstr>Predictions and Residuals</vt:lpstr>
      <vt:lpstr>Model Comparison</vt:lpstr>
      <vt:lpstr>data_dictionary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2026-06-21T14:43:14Z</dcterms:created>
  <dcterms:modified xsi:type="dcterms:W3CDTF">2026-06-22T17:39:42Z</dcterms:modified>
</cp:coreProperties>
</file>